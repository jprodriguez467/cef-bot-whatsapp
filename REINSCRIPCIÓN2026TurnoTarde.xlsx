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 de 5 años" sheetId="1" r:id="rId5"/>
    <sheet state="visible" name="SALA DE 4" sheetId="2" r:id="rId6"/>
    <sheet state="visible" name="Primero" sheetId="3" r:id="rId7"/>
    <sheet state="visible" name="Segundo" sheetId="4" r:id="rId8"/>
    <sheet state="visible" name="Tercero" sheetId="5" r:id="rId9"/>
    <sheet state="visible" name="Cuarto" sheetId="6" r:id="rId10"/>
    <sheet state="visible" name="Quinto" sheetId="7" r:id="rId11"/>
    <sheet state="visible" name="Sexto" sheetId="8" r:id="rId12"/>
    <sheet state="visible" name="Septimo" sheetId="9" r:id="rId13"/>
    <sheet state="visible" name="promovidos" sheetId="10" r:id="rId14"/>
  </sheets>
  <definedNames/>
  <calcPr/>
</workbook>
</file>

<file path=xl/sharedStrings.xml><?xml version="1.0" encoding="utf-8"?>
<sst xmlns="http://schemas.openxmlformats.org/spreadsheetml/2006/main" count="1186" uniqueCount="209">
  <si>
    <t>Nombre y Apellido</t>
  </si>
  <si>
    <t>Reinscripción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</si>
  <si>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</si>
  <si>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</si>
  <si>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</si>
  <si>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</si>
  <si>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</si>
  <si>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</si>
  <si>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</si>
  <si>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</si>
  <si>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</si>
  <si>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</si>
  <si>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 efectivo</t>
  </si>
  <si>
    <t>Ingreso MP</t>
  </si>
  <si>
    <t>Total Efectivo</t>
  </si>
  <si>
    <t>Toatal MP</t>
  </si>
  <si>
    <t>ACOSTA, GIANLUCA</t>
  </si>
  <si>
    <t>Pago</t>
  </si>
  <si>
    <t>Forma de Pago</t>
  </si>
  <si>
    <t>Fecha</t>
  </si>
  <si>
    <t>BENITEZ ALEGRE, NOHA JOAQUÍN</t>
  </si>
  <si>
    <t>BENITEZ, AUGUSTO LEONEL</t>
  </si>
  <si>
    <t>CABRERA, XIMENA DENISE AYLÍN</t>
  </si>
  <si>
    <t>CISNERO, LEÓN</t>
  </si>
  <si>
    <t>DIEZ, VICTORIA NUM RUBÍ</t>
  </si>
  <si>
    <t>GODOY, CIRO VALENTÍN</t>
  </si>
  <si>
    <t>Efectivo</t>
  </si>
  <si>
    <t>GUDIÑOA, THEO</t>
  </si>
  <si>
    <t>OJEDA, NAYLA CATALINA</t>
  </si>
  <si>
    <t>PEREZ, CIRO SANTINO</t>
  </si>
  <si>
    <t>PIEDRABUENA, GENARO AGUSTÍN</t>
  </si>
  <si>
    <t>QUIRÓS, GEOVANNI</t>
  </si>
  <si>
    <t>RAMIREZ, PALOMA SOLEDAD</t>
  </si>
  <si>
    <t>REINOZO, ALMA MIA</t>
  </si>
  <si>
    <t>Garcia, Pia</t>
  </si>
  <si>
    <t>Mercado Pago</t>
  </si>
  <si>
    <t>ROMERO, SOFÍA MAITE</t>
  </si>
  <si>
    <t>RONDÁN, VLADIMIR</t>
  </si>
  <si>
    <t>SAUCEDO, LORENZO VALENTINO</t>
  </si>
  <si>
    <t>BLASONE, OLIVIA</t>
  </si>
  <si>
    <t>TORRES, Amica Mailen</t>
  </si>
  <si>
    <t>CANSIANI, Angel</t>
  </si>
  <si>
    <t>GORRIA EMMA MARTINA</t>
  </si>
  <si>
    <t>@</t>
  </si>
  <si>
    <t>CARRUEGA, Sofia</t>
  </si>
  <si>
    <t>CATALAN, PIA</t>
  </si>
  <si>
    <t>GUTIERREZ ALÒN</t>
  </si>
  <si>
    <t>Garcia PIA</t>
  </si>
  <si>
    <t>CANSIONI, ANGEL</t>
  </si>
  <si>
    <t>ROMERO, ARACELI</t>
  </si>
  <si>
    <t>ROBLES, WILLIAM OCTAVIO</t>
  </si>
  <si>
    <t>Victoria Numa Rubi Diez</t>
  </si>
  <si>
    <t>RAMIREZ PALOMA</t>
  </si>
  <si>
    <t>BUDIÑO TOLOSA, Emily Luz</t>
  </si>
  <si>
    <t>BENITEZ, ORDOÑEZ SANTINO</t>
  </si>
  <si>
    <t>Aquino, Delfina</t>
  </si>
  <si>
    <t>Báez, Umma</t>
  </si>
  <si>
    <t>Ballesteros, Iris</t>
  </si>
  <si>
    <t>Bogado, Nahitan</t>
  </si>
  <si>
    <t>Britos, Gadiel</t>
  </si>
  <si>
    <t>Carruega, Sofía</t>
  </si>
  <si>
    <t>Castro Aron</t>
  </si>
  <si>
    <t>Catalán, Pía</t>
  </si>
  <si>
    <t>Godoy Taborda, Aixa</t>
  </si>
  <si>
    <t>Hernández, Alexander</t>
  </si>
  <si>
    <t>Loseco, Thiago</t>
  </si>
  <si>
    <t>Monzón, Benjamín</t>
  </si>
  <si>
    <t>Pereyra Santino</t>
  </si>
  <si>
    <t>Pérez, Milo</t>
  </si>
  <si>
    <t>Reinaudo, Rodrigo</t>
  </si>
  <si>
    <t>Romero, Francisco</t>
  </si>
  <si>
    <t>Sanchez, Olivia</t>
  </si>
  <si>
    <t>Torres Aguirre, Aitana</t>
  </si>
  <si>
    <t>Tort, Lorenzo</t>
  </si>
  <si>
    <t>Vallejos, Eliel Thadeo Edgardo</t>
  </si>
  <si>
    <t xml:space="preserve">Clemente, Fausto </t>
  </si>
  <si>
    <t>Benitez Alegre, Lucian Thomas</t>
  </si>
  <si>
    <t>Benitez, Amaia Yazmin</t>
  </si>
  <si>
    <t>Bustos, Oliver Santos</t>
  </si>
  <si>
    <t>Cabrera, Umma Malena</t>
  </si>
  <si>
    <t>Cisneros Franchesca Lucero</t>
  </si>
  <si>
    <t>Descalzo Reyes, Liam Mateo</t>
  </si>
  <si>
    <t>Eier, Amparo</t>
  </si>
  <si>
    <t>Franco, Eren Jorge Isaac</t>
  </si>
  <si>
    <t>García Thiago Maximiliano</t>
  </si>
  <si>
    <t>García, Ashley Abigail</t>
  </si>
  <si>
    <t>Godoy, Delfina Natasha</t>
  </si>
  <si>
    <t>Gómez, Milo Alejandro</t>
  </si>
  <si>
    <t>Gonzalez, Francesco Jonás</t>
  </si>
  <si>
    <t>Ifran, Malena Estefanía</t>
  </si>
  <si>
    <t>Lanche, Jairo Cipriano</t>
  </si>
  <si>
    <t>Ojeda, Loana Nahomi</t>
  </si>
  <si>
    <t>Piedrabuena, Mateo Yair</t>
  </si>
  <si>
    <t>Ramirez, Cathia Delfina</t>
  </si>
  <si>
    <t>Ramirez, Sara Lisbeth</t>
  </si>
  <si>
    <t>Ríos, Julio César</t>
  </si>
  <si>
    <t>Ríos, Thiago Fabián</t>
  </si>
  <si>
    <t>Rizzuto Lupo, Zoe</t>
  </si>
  <si>
    <t>Rodríguez Moreira, Felipe</t>
  </si>
  <si>
    <t>Romero, Mariam Delfina</t>
  </si>
  <si>
    <t>Salinas Cornaglia Mariam</t>
  </si>
  <si>
    <t>Santa Cruz, Paz Guadalupe</t>
  </si>
  <si>
    <t>Valverdi, Zoe Magalí</t>
  </si>
  <si>
    <t>Romero Araceli Luciana</t>
  </si>
  <si>
    <t>BRITOS, ZOE ZAMIRA</t>
  </si>
  <si>
    <t>CABRERA, SARA MAILEN</t>
  </si>
  <si>
    <t>CEBALLO, AVRIL CAROLINA</t>
  </si>
  <si>
    <t>DE LOS HOYOS, ALMA BELÉN</t>
  </si>
  <si>
    <t>ECHAGUE, CATALINA PILAR</t>
  </si>
  <si>
    <t>LANCHE, VALENTINO NICOLÁS</t>
  </si>
  <si>
    <t>LENCINA, BAUTISTA JUNIOR</t>
  </si>
  <si>
    <t>LÓPEZ, AGOSTINA ADABEL</t>
  </si>
  <si>
    <t>MALDONADO, KEVIN DANIEL</t>
  </si>
  <si>
    <t>MEDINA, MICHEL LIAN ANDRÉS</t>
  </si>
  <si>
    <t>MONZÓN WEIHE, PRISCILA ABRIL</t>
  </si>
  <si>
    <t>RAMIREZ LUCERO, VALENTINO</t>
  </si>
  <si>
    <t>RODRIGUEZ, BAUTISTA JEREMÍAS</t>
  </si>
  <si>
    <t>TORRES AGUIRRE, SASHA</t>
  </si>
  <si>
    <t>TORRES , NAHIARA  NAIQUEN</t>
  </si>
  <si>
    <t>VELAZQUEZ, ANTONIA ISABELLA</t>
  </si>
  <si>
    <t>WAGNER, ANDY</t>
  </si>
  <si>
    <t>RAMIREZ, Aneley Coral</t>
  </si>
  <si>
    <t>RIVAROLA, Antonela luisana</t>
  </si>
  <si>
    <t>BENITEZ ALEGRE, VALENTINO STEFANO</t>
  </si>
  <si>
    <t>BRITOS, MELANIE XIOMARA</t>
  </si>
  <si>
    <t>CABRERA, BENJAMIN NICOLAS</t>
  </si>
  <si>
    <t>CÓCEREZ, TALEES LAUREANO ADRIEL</t>
  </si>
  <si>
    <t>FERNANDEZ, MATEO</t>
  </si>
  <si>
    <t>FUNES, JOAQUÍN</t>
  </si>
  <si>
    <t>GARCÍA, THIARA KIMEY</t>
  </si>
  <si>
    <t>GÓMEZ, ROUS SELENE</t>
  </si>
  <si>
    <t>GONZALEZ ,THEO VALENTIN</t>
  </si>
  <si>
    <t>MALDONADO, INDIANA VERA</t>
  </si>
  <si>
    <t>MARTINEZ, FRANCESCA</t>
  </si>
  <si>
    <t>NAAR COSTANZO, JOCELYNNE JAEL</t>
  </si>
  <si>
    <t>RAMOS,YADIRA</t>
  </si>
  <si>
    <t>RIVERO, TIZIANO ENZO SAMUEL</t>
  </si>
  <si>
    <t>RODRIGUEZ, ALMA VALENTINA</t>
  </si>
  <si>
    <t>RODRIGUEZ, IAN FABIAN</t>
  </si>
  <si>
    <t>ROMERO, ALMA</t>
  </si>
  <si>
    <t>ROMERO, TOMAS ANDRES</t>
  </si>
  <si>
    <t>RONDÁN, BRISA</t>
  </si>
  <si>
    <t>SABATER, CARLOS ANTONIO</t>
  </si>
  <si>
    <t>SÁNCHEZ, VALENTINO</t>
  </si>
  <si>
    <t>SESMA, JULIANA</t>
  </si>
  <si>
    <t>CISNEROS Benicio</t>
  </si>
  <si>
    <t>ECHAGUE, Edrian Adriel</t>
  </si>
  <si>
    <t>GIGENA , Jordan Carlos Antonio</t>
  </si>
  <si>
    <t>GONZALEZ, Thian Erik Bladimir</t>
  </si>
  <si>
    <t>GUDIÑO Thiago</t>
  </si>
  <si>
    <t>IFRAN, Naim Yosemir Alí</t>
  </si>
  <si>
    <t>KESSELER, Naira</t>
  </si>
  <si>
    <t>MANSILLA, Dalma Melani</t>
  </si>
  <si>
    <t>MENDOZA, Jaquelina Milagros</t>
  </si>
  <si>
    <t>MONTERO, Mara</t>
  </si>
  <si>
    <t>MONZÓN, Umma</t>
  </si>
  <si>
    <t>OSUNA, Jimena</t>
  </si>
  <si>
    <t>PEREYRA ,Francesca Alai</t>
  </si>
  <si>
    <t>RAMOS, Daiara</t>
  </si>
  <si>
    <t>RIOS, Anahis Elisabet</t>
  </si>
  <si>
    <t>TORRES, Lucas</t>
  </si>
  <si>
    <t>VELAZQUEZ, Bladimir Ezequiel</t>
  </si>
  <si>
    <t>VELAZQUEZ, Laureano</t>
  </si>
  <si>
    <t>VILLA, Ingrid Alondra</t>
  </si>
  <si>
    <t>VINO, Jeremías Natanael</t>
  </si>
  <si>
    <t>Gonzalez Catriel (ingres nuevo)</t>
  </si>
  <si>
    <t>GORRÌA, EMMA MARTINA</t>
  </si>
  <si>
    <t>FORNO AUGUSTO</t>
  </si>
  <si>
    <t>ACEVEDO, Ciro Maximiliano</t>
  </si>
  <si>
    <t>BRITOS, keila Tiziana</t>
  </si>
  <si>
    <t>CEBALLO, Sabrina Gabriela</t>
  </si>
  <si>
    <t>CORREA, Tobías Valentín</t>
  </si>
  <si>
    <t>LUNA, Valentina Nicol</t>
  </si>
  <si>
    <t>MALDONADO, Zoe Abigail</t>
  </si>
  <si>
    <t>MARTINEZ, Cesar Laureano</t>
  </si>
  <si>
    <t>NORI, Lucca Jesús</t>
  </si>
  <si>
    <t>PALAVECINO, Umma Gianella</t>
  </si>
  <si>
    <t>PASCULLI, Mia Yanina</t>
  </si>
  <si>
    <t>PEREZ, Morena</t>
  </si>
  <si>
    <t>RIOS, Maria de los Angeles</t>
  </si>
  <si>
    <t>ROLON, Venicio Santiago Segundo</t>
  </si>
  <si>
    <t>RONDAN, Mairon Nehemías</t>
  </si>
  <si>
    <t>SABATER, Morena Alegra</t>
  </si>
  <si>
    <t>TAVECCHIO, Teo Emanuel</t>
  </si>
  <si>
    <t>TEJEDOR, Eitan Xavier</t>
  </si>
  <si>
    <t>AQUINO, Zamira Luciana</t>
  </si>
  <si>
    <t>BENITEZ ALEGRE, Alexander</t>
  </si>
  <si>
    <t>CEBALLO, Maximiliano Alexis</t>
  </si>
  <si>
    <t>CISNEROS, Benjamín Manuel Ismael</t>
  </si>
  <si>
    <t>DELGADO, Aarón David</t>
  </si>
  <si>
    <t>GIMENEZ, Ciro Valentino</t>
  </si>
  <si>
    <t>GIOVANNIELLO, Nicole Yamila</t>
  </si>
  <si>
    <t>GONZALEZ, Luz Pilar</t>
  </si>
  <si>
    <t>PAIN, Sol Guillermina</t>
  </si>
  <si>
    <t>PASCULLI, Bautista</t>
  </si>
  <si>
    <t>PASCULLI, Benicio Benjamín</t>
  </si>
  <si>
    <t>PIEDRABUENA, Ian Ezequiel</t>
  </si>
  <si>
    <t>REYES, Gianfranco</t>
  </si>
  <si>
    <t>RIVERO, Bianca Justina</t>
  </si>
  <si>
    <t>RIZZUTO LUPPO, Oriana</t>
  </si>
  <si>
    <t>RODRIGUEZ, Camila Nazarena</t>
  </si>
  <si>
    <t>RODRIGUEZ, Victoria</t>
  </si>
  <si>
    <t>ROMERO, Isabella Evangelina</t>
  </si>
  <si>
    <t>$27000</t>
  </si>
  <si>
    <t>SALVADORES SALEME, Luciano</t>
  </si>
  <si>
    <t>SANTA CRUZ, Alma Lourdes</t>
  </si>
  <si>
    <t>TAVECCHIO, Bruno Elias</t>
  </si>
  <si>
    <t>TORRES AGUIRRE, Indira</t>
  </si>
  <si>
    <t>VELAZQUEZ, Elián Maximiliano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</si>
</sst>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.00"/>
    <numFmt numFmtId="165" formatCode="dd/mm/yyyy"/>
    <numFmt numFmtId="166" formatCode="d/m/yyyy"/>
    <numFmt numFmtId="167" formatCode="d/m/yy"/>
    <numFmt numFmtId="168" formatCode="dd/mm/yy"/>
  </numFmts>
  <fonts count="25">
    <font>
      <sz val="10.0"/>
      <color rgb="FF000000"/>
      <name val="Verdana"/>
      <scheme val="minor"/>
    </font>
    <font>
      <b/>
      <sz val="14.0"/>
      <color rgb="FFFFFFFF"/>
      <name val="Arial"/>
    </font>
    <font>
      <color rgb="FFFFFFFF"/>
      <name val="Verdana"/>
      <scheme val="minor"/>
    </font>
    <font>
      <b/>
      <sz val="14.0"/>
      <color rgb="FFFFFFFF"/>
      <name val="Calibri"/>
    </font>
    <font>
      <b/>
      <sz val="14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sz val="14.0"/>
      <color rgb="FF10734B"/>
      <name val="Calibri"/>
    </font>
    <font>
      <b/>
      <sz val="14.0"/>
      <color rgb="FF0B53A8"/>
      <name val="Calibri"/>
    </font>
    <font>
      <b/>
      <sz val="14.0"/>
      <color rgb="FFFFFFFF"/>
      <name val="Verdana"/>
    </font>
    <font>
      <sz val="10.0"/>
      <color theme="1"/>
      <name val="Calibri"/>
    </font>
    <font>
      <sz val="12.0"/>
      <color theme="1"/>
      <name val="Verdana"/>
      <scheme val="minor"/>
    </font>
    <font/>
    <font>
      <sz val="11.0"/>
      <color theme="1"/>
      <name val="Verdana"/>
      <scheme val="minor"/>
    </font>
    <font>
      <sz val="14.0"/>
      <color theme="1"/>
      <name val="Verdana"/>
      <scheme val="minor"/>
    </font>
    <font>
      <color theme="1"/>
      <name val="Verdana"/>
    </font>
    <font>
      <sz val="13.0"/>
      <color theme="1"/>
      <name val="Calibri"/>
    </font>
    <font>
      <sz val="13.0"/>
      <color theme="1"/>
      <name val="Verdana"/>
      <scheme val="minor"/>
    </font>
    <font>
      <color theme="1"/>
      <name val="Verdana"/>
      <scheme val="minor"/>
    </font>
    <font>
      <sz val="11.0"/>
      <color rgb="FF000000"/>
      <name val="Arial"/>
    </font>
    <font>
      <sz val="14.0"/>
      <color theme="1"/>
      <name val="Arial"/>
    </font>
    <font>
      <sz val="12.0"/>
      <color theme="1"/>
      <name val="Arial"/>
    </font>
    <font>
      <b/>
      <sz val="12.0"/>
      <color rgb="FFFF00FF"/>
      <name val="Arial"/>
    </font>
    <font>
      <color theme="1"/>
      <name val="Arial"/>
    </font>
    <font>
      <b/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10734B"/>
        <bgColor rgb="FF10734B"/>
      </patternFill>
    </fill>
    <fill>
      <patternFill patternType="solid">
        <fgColor rgb="FF0B53A8"/>
        <bgColor rgb="FF0B53A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BD5F2"/>
        <bgColor rgb="FFBBD5F2"/>
      </patternFill>
    </fill>
  </fills>
  <borders count="18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FFFFFF"/>
      </left>
      <right style="thick">
        <color rgb="FFFFFFFF"/>
      </right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Font="1"/>
    <xf borderId="0" fillId="2" fontId="3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2" fillId="2" fontId="3" numFmtId="164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ill="1" applyFont="1" applyNumberFormat="1">
      <alignment horizontal="center" shrinkToFit="0" vertical="center" wrapText="1"/>
    </xf>
    <xf borderId="3" fillId="4" fontId="3" numFmtId="164" xfId="0" applyAlignment="1" applyBorder="1" applyFill="1" applyFont="1" applyNumberForma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center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6" fillId="0" fontId="6" numFmtId="164" xfId="0" applyAlignment="1" applyBorder="1" applyFont="1" applyNumberFormat="1">
      <alignment horizontal="center" readingOrder="0" shrinkToFit="0" vertical="center" wrapText="1"/>
    </xf>
    <xf borderId="5" fillId="6" fontId="7" numFmtId="164" xfId="0" applyAlignment="1" applyBorder="1" applyFill="1" applyFont="1" applyNumberFormat="1">
      <alignment horizontal="center" vertical="center"/>
    </xf>
    <xf borderId="5" fillId="6" fontId="8" numFmtId="164" xfId="0" applyAlignment="1" applyBorder="1" applyFont="1" applyNumberFormat="1">
      <alignment horizontal="center" vertical="center"/>
    </xf>
    <xf borderId="7" fillId="4" fontId="9" numFmtId="164" xfId="0" applyAlignment="1" applyBorder="1" applyFont="1" applyNumberFormat="1">
      <alignment horizontal="center" vertical="center"/>
    </xf>
    <xf borderId="0" fillId="5" fontId="9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1" numFmtId="49" xfId="0" applyAlignment="1" applyFont="1" applyNumberFormat="1">
      <alignment horizontal="center" readingOrder="0" vertical="center"/>
    </xf>
    <xf borderId="8" fillId="0" fontId="11" numFmtId="49" xfId="0" applyAlignment="1" applyBorder="1" applyFont="1" applyNumberFormat="1">
      <alignment horizontal="center" readingOrder="0" vertical="center"/>
    </xf>
    <xf borderId="7" fillId="0" fontId="12" numFmtId="0" xfId="0" applyBorder="1" applyFont="1"/>
    <xf borderId="9" fillId="0" fontId="12" numFmtId="0" xfId="0" applyBorder="1" applyFont="1"/>
    <xf borderId="9" fillId="0" fontId="6" numFmtId="0" xfId="0" applyAlignment="1" applyBorder="1" applyFont="1">
      <alignment horizontal="center" readingOrder="0" vertical="center"/>
    </xf>
    <xf borderId="9" fillId="0" fontId="13" numFmtId="165" xfId="0" applyAlignment="1" applyBorder="1" applyFont="1" applyNumberFormat="1">
      <alignment horizontal="center" readingOrder="0" vertical="center"/>
    </xf>
    <xf borderId="9" fillId="0" fontId="11" numFmtId="166" xfId="0" applyAlignment="1" applyBorder="1" applyFont="1" applyNumberFormat="1">
      <alignment horizontal="center" readingOrder="0" vertical="center"/>
    </xf>
    <xf borderId="9" fillId="0" fontId="14" numFmtId="165" xfId="0" applyAlignment="1" applyBorder="1" applyFont="1" applyNumberFormat="1">
      <alignment horizontal="center" readingOrder="0" vertical="center"/>
    </xf>
    <xf borderId="9" fillId="0" fontId="14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readingOrder="0" vertical="center"/>
    </xf>
    <xf borderId="11" fillId="0" fontId="12" numFmtId="0" xfId="0" applyBorder="1" applyFont="1"/>
    <xf borderId="5" fillId="7" fontId="5" numFmtId="0" xfId="0" applyAlignment="1" applyBorder="1" applyFill="1" applyFont="1">
      <alignment readingOrder="0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7" fontId="6" numFmtId="164" xfId="0" applyAlignment="1" applyBorder="1" applyFont="1" applyNumberFormat="1">
      <alignment horizontal="center" readingOrder="0" shrinkToFit="0" vertical="center" wrapText="1"/>
    </xf>
    <xf borderId="0" fillId="7" fontId="6" numFmtId="164" xfId="0" applyAlignment="1" applyFont="1" applyNumberFormat="1">
      <alignment horizontal="center" readingOrder="0" shrinkToFit="0" vertical="center" wrapText="1"/>
    </xf>
    <xf borderId="12" fillId="6" fontId="7" numFmtId="164" xfId="0" applyAlignment="1" applyBorder="1" applyFont="1" applyNumberFormat="1">
      <alignment horizontal="center" vertical="center"/>
    </xf>
    <xf borderId="0" fillId="6" fontId="8" numFmtId="164" xfId="0" applyAlignment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7" fontId="10" numFmtId="164" xfId="0" applyAlignment="1" applyFont="1" applyNumberFormat="1">
      <alignment horizontal="center" readingOrder="0" vertical="center"/>
    </xf>
    <xf borderId="0" fillId="7" fontId="11" numFmtId="49" xfId="0" applyAlignment="1" applyFont="1" applyNumberFormat="1">
      <alignment horizontal="center" readingOrder="0" vertical="center"/>
    </xf>
    <xf borderId="12" fillId="0" fontId="12" numFmtId="0" xfId="0" applyBorder="1" applyFont="1"/>
    <xf borderId="9" fillId="7" fontId="6" numFmtId="0" xfId="0" applyAlignment="1" applyBorder="1" applyFont="1">
      <alignment horizontal="center" readingOrder="0" vertical="center"/>
    </xf>
    <xf borderId="9" fillId="7" fontId="14" numFmtId="165" xfId="0" applyAlignment="1" applyBorder="1" applyFont="1" applyNumberForma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13" fillId="0" fontId="12" numFmtId="0" xfId="0" applyBorder="1" applyFont="1"/>
    <xf borderId="14" fillId="6" fontId="7" numFmtId="164" xfId="0" applyAlignment="1" applyBorder="1" applyFont="1" applyNumberFormat="1">
      <alignment horizontal="center" vertical="center"/>
    </xf>
    <xf borderId="9" fillId="0" fontId="11" numFmtId="165" xfId="0" applyAlignment="1" applyBorder="1" applyFont="1" applyNumberFormat="1">
      <alignment horizontal="center" readingOrder="0" vertical="center"/>
    </xf>
    <xf borderId="9" fillId="0" fontId="13" numFmtId="166" xfId="0" applyAlignment="1" applyBorder="1" applyFont="1" applyNumberFormat="1">
      <alignment horizontal="center" readingOrder="0" vertical="center"/>
    </xf>
    <xf borderId="9" fillId="0" fontId="11" numFmtId="167" xfId="0" applyAlignment="1" applyBorder="1" applyFont="1" applyNumberFormat="1">
      <alignment horizontal="center" readingOrder="0" vertical="center"/>
    </xf>
    <xf borderId="5" fillId="7" fontId="16" numFmtId="164" xfId="0" applyAlignment="1" applyBorder="1" applyFont="1" applyNumberFormat="1">
      <alignment horizontal="center" readingOrder="0" shrinkToFit="0" vertical="center" wrapText="1"/>
    </xf>
    <xf borderId="9" fillId="7" fontId="11" numFmtId="165" xfId="0" applyAlignment="1" applyBorder="1" applyFont="1" applyNumberFormat="1">
      <alignment horizontal="center" readingOrder="0" vertical="center"/>
    </xf>
    <xf borderId="9" fillId="7" fontId="17" numFmtId="166" xfId="0" applyAlignment="1" applyBorder="1" applyFont="1" applyNumberFormat="1">
      <alignment horizontal="center" readingOrder="0" vertical="center"/>
    </xf>
    <xf borderId="9" fillId="7" fontId="11" numFmtId="166" xfId="0" applyAlignment="1" applyBorder="1" applyFont="1" applyNumberFormat="1">
      <alignment horizontal="center" readingOrder="0" vertical="center"/>
    </xf>
    <xf borderId="9" fillId="7" fontId="13" numFmtId="165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readingOrder="0"/>
    </xf>
    <xf borderId="9" fillId="0" fontId="11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20" numFmtId="0" xfId="0" applyAlignment="1" applyFont="1">
      <alignment shrinkToFit="0" vertical="center" wrapText="1"/>
    </xf>
    <xf borderId="9" fillId="0" fontId="20" numFmtId="0" xfId="0" applyAlignment="1" applyBorder="1" applyFont="1">
      <alignment shrinkToFit="0" vertical="center" wrapText="1"/>
    </xf>
    <xf borderId="9" fillId="0" fontId="17" numFmtId="165" xfId="0" applyAlignment="1" applyBorder="1" applyFont="1" applyNumberFormat="1">
      <alignment horizontal="center" readingOrder="0" vertical="center"/>
    </xf>
    <xf borderId="9" fillId="0" fontId="17" numFmtId="166" xfId="0" applyAlignment="1" applyBorder="1" applyFont="1" applyNumberForma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5" fillId="7" fontId="20" numFmtId="0" xfId="0" applyAlignment="1" applyBorder="1" applyFont="1">
      <alignment readingOrder="0" shrinkToFit="0" vertical="center" wrapText="1"/>
    </xf>
    <xf borderId="9" fillId="7" fontId="14" numFmtId="166" xfId="0" applyAlignment="1" applyBorder="1" applyFont="1" applyNumberFormat="1">
      <alignment horizontal="center" readingOrder="0" vertical="center"/>
    </xf>
    <xf borderId="5" fillId="0" fontId="20" numFmtId="0" xfId="0" applyAlignment="1" applyBorder="1" applyFont="1">
      <alignment readingOrder="0" shrinkToFit="0" vertical="center" wrapText="1"/>
    </xf>
    <xf borderId="5" fillId="8" fontId="20" numFmtId="0" xfId="0" applyAlignment="1" applyBorder="1" applyFill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9" fillId="7" fontId="13" numFmtId="166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vertical="center"/>
    </xf>
    <xf borderId="0" fillId="0" fontId="14" numFmtId="0" xfId="0" applyAlignment="1" applyFont="1">
      <alignment vertical="center"/>
    </xf>
    <xf borderId="1" fillId="3" fontId="4" numFmtId="0" xfId="0" applyAlignment="1" applyBorder="1" applyFont="1">
      <alignment horizontal="center"/>
    </xf>
    <xf borderId="0" fillId="3" fontId="15" numFmtId="0" xfId="0" applyAlignment="1" applyFont="1">
      <alignment vertical="bottom"/>
    </xf>
    <xf borderId="0" fillId="3" fontId="4" numFmtId="164" xfId="0" applyAlignment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2" fillId="3" fontId="4" numFmtId="164" xfId="0" applyAlignment="1" applyBorder="1" applyFont="1" applyNumberFormat="1">
      <alignment horizontal="center"/>
    </xf>
    <xf borderId="2" fillId="3" fontId="4" numFmtId="164" xfId="0" applyAlignment="1" applyBorder="1" applyFont="1" applyNumberFormat="1">
      <alignment horizontal="center" shrinkToFit="0" wrapText="1"/>
    </xf>
    <xf borderId="1" fillId="3" fontId="4" numFmtId="164" xfId="0" applyAlignment="1" applyBorder="1" applyFont="1" applyNumberFormat="1">
      <alignment horizontal="center" shrinkToFit="0" wrapText="1"/>
    </xf>
    <xf borderId="3" fillId="4" fontId="3" numFmtId="164" xfId="0" applyAlignment="1" applyBorder="1" applyFont="1" applyNumberFormat="1">
      <alignment horizontal="center" shrinkToFit="0" wrapText="1"/>
    </xf>
    <xf borderId="4" fillId="5" fontId="3" numFmtId="164" xfId="0" applyAlignment="1" applyBorder="1" applyFont="1" applyNumberFormat="1">
      <alignment horizontal="center" shrinkToFit="0" wrapText="1"/>
    </xf>
    <xf borderId="0" fillId="7" fontId="5" numFmtId="0" xfId="0" applyAlignment="1" applyFont="1">
      <alignment readingOrder="0" shrinkToFit="0" vertical="center" wrapText="1"/>
    </xf>
    <xf borderId="9" fillId="7" fontId="5" numFmtId="0" xfId="0" applyAlignment="1" applyBorder="1" applyFont="1">
      <alignment readingOrder="0" shrinkToFit="0" vertical="center" wrapText="1"/>
    </xf>
    <xf borderId="13" fillId="6" fontId="7" numFmtId="164" xfId="0" applyAlignment="1" applyBorder="1" applyFont="1" applyNumberFormat="1">
      <alignment horizontal="center" vertical="center"/>
    </xf>
    <xf borderId="9" fillId="6" fontId="8" numFmtId="164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3" fillId="2" fontId="3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7" fontId="5" numFmtId="0" xfId="0" applyAlignment="1" applyBorder="1" applyFont="1">
      <alignment shrinkToFit="0" vertical="center" wrapText="1"/>
    </xf>
    <xf borderId="9" fillId="0" fontId="14" numFmtId="166" xfId="0" applyAlignment="1" applyBorder="1" applyFont="1" applyNumberFormat="1">
      <alignment horizontal="center" readingOrder="0" vertical="center"/>
    </xf>
    <xf borderId="5" fillId="0" fontId="5" numFmtId="0" xfId="0" applyAlignment="1" applyBorder="1" applyFont="1">
      <alignment shrinkToFit="0" vertical="center" wrapText="1"/>
    </xf>
    <xf borderId="5" fillId="7" fontId="5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shrinkToFit="0" vertical="center" wrapText="1"/>
    </xf>
    <xf borderId="5" fillId="7" fontId="21" numFmtId="0" xfId="0" applyAlignment="1" applyBorder="1" applyFont="1">
      <alignment shrinkToFit="0" vertical="center" wrapText="1"/>
    </xf>
    <xf borderId="0" fillId="0" fontId="18" numFmtId="166" xfId="0" applyAlignment="1" applyFont="1" applyNumberFormat="1">
      <alignment readingOrder="0"/>
    </xf>
    <xf borderId="5" fillId="7" fontId="20" numFmtId="0" xfId="0" applyAlignment="1" applyBorder="1" applyFont="1">
      <alignment shrinkToFit="0" vertical="center" wrapText="1"/>
    </xf>
    <xf borderId="15" fillId="0" fontId="21" numFmtId="0" xfId="0" applyAlignment="1" applyBorder="1" applyFont="1">
      <alignment shrinkToFit="0" vertical="center" wrapText="1"/>
    </xf>
    <xf borderId="16" fillId="0" fontId="12" numFmtId="0" xfId="0" applyBorder="1" applyFont="1"/>
    <xf borderId="17" fillId="0" fontId="12" numFmtId="0" xfId="0" applyBorder="1" applyFont="1"/>
    <xf borderId="15" fillId="7" fontId="21" numFmtId="0" xfId="0" applyAlignment="1" applyBorder="1" applyFont="1">
      <alignment shrinkToFit="0" vertical="center" wrapText="1"/>
    </xf>
    <xf borderId="5" fillId="0" fontId="21" numFmtId="0" xfId="0" applyAlignment="1" applyBorder="1" applyFont="1">
      <alignment shrinkToFit="0" vertical="center" wrapText="1"/>
    </xf>
    <xf borderId="5" fillId="0" fontId="21" numFmtId="0" xfId="0" applyAlignment="1" applyBorder="1" applyFont="1">
      <alignment shrinkToFit="0" vertical="center" wrapText="1"/>
    </xf>
    <xf borderId="5" fillId="7" fontId="21" numFmtId="0" xfId="0" applyAlignment="1" applyBorder="1" applyFont="1">
      <alignment shrinkToFit="0" vertical="center" wrapText="1"/>
    </xf>
    <xf borderId="5" fillId="0" fontId="22" numFmtId="0" xfId="0" applyAlignment="1" applyBorder="1" applyFont="1">
      <alignment shrinkToFit="0" vertical="center" wrapText="1"/>
    </xf>
    <xf borderId="0" fillId="0" fontId="14" numFmtId="165" xfId="0" applyAlignment="1" applyFont="1" applyNumberFormat="1">
      <alignment readingOrder="0" vertical="center"/>
    </xf>
    <xf borderId="0" fillId="0" fontId="14" numFmtId="166" xfId="0" applyAlignment="1" applyFont="1" applyNumberFormat="1">
      <alignment readingOrder="0" vertical="center"/>
    </xf>
    <xf borderId="0" fillId="0" fontId="20" numFmtId="0" xfId="0" applyAlignment="1" applyFont="1">
      <alignment readingOrder="0" vertical="center"/>
    </xf>
    <xf borderId="15" fillId="0" fontId="23" numFmtId="0" xfId="0" applyAlignment="1" applyBorder="1" applyFont="1">
      <alignment shrinkToFit="0" vertical="center" wrapText="0"/>
    </xf>
    <xf borderId="5" fillId="7" fontId="23" numFmtId="0" xfId="0" applyAlignment="1" applyBorder="1" applyFont="1">
      <alignment vertical="center"/>
    </xf>
    <xf borderId="5" fillId="0" fontId="23" numFmtId="0" xfId="0" applyAlignment="1" applyBorder="1" applyFont="1">
      <alignment vertical="center"/>
    </xf>
    <xf borderId="5" fillId="0" fontId="23" numFmtId="0" xfId="0" applyAlignment="1" applyBorder="1" applyFont="1">
      <alignment shrinkToFit="0" vertical="center" wrapText="0"/>
    </xf>
    <xf borderId="5" fillId="0" fontId="23" numFmtId="0" xfId="0" applyAlignment="1" applyBorder="1" applyFont="1">
      <alignment readingOrder="0" vertical="center"/>
    </xf>
    <xf borderId="14" fillId="0" fontId="20" numFmtId="0" xfId="0" applyAlignment="1" applyBorder="1" applyFont="1">
      <alignment shrinkToFit="0" vertical="center" wrapText="1"/>
    </xf>
    <xf borderId="14" fillId="7" fontId="20" numFmtId="0" xfId="0" applyAlignment="1" applyBorder="1" applyFont="1">
      <alignment readingOrder="0" shrinkToFit="0" vertical="center" wrapText="1"/>
    </xf>
    <xf borderId="14" fillId="7" fontId="20" numFmtId="0" xfId="0" applyAlignment="1" applyBorder="1" applyFont="1">
      <alignment shrinkToFit="0" vertical="center" wrapText="1"/>
    </xf>
    <xf borderId="5" fillId="7" fontId="21" numFmtId="0" xfId="0" applyAlignment="1" applyBorder="1" applyFont="1">
      <alignment shrinkToFit="0" vertical="center" wrapText="0"/>
    </xf>
    <xf borderId="5" fillId="0" fontId="21" numFmtId="0" xfId="0" applyAlignment="1" applyBorder="1" applyFont="1">
      <alignment readingOrder="0" shrinkToFit="0" vertical="center" wrapText="1"/>
    </xf>
    <xf borderId="9" fillId="0" fontId="14" numFmtId="168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0" fillId="2" fontId="2" numFmtId="0" xfId="0" applyAlignment="1" applyFont="1">
      <alignment vertical="center"/>
    </xf>
    <xf borderId="5" fillId="9" fontId="5" numFmtId="0" xfId="0" applyAlignment="1" applyBorder="1" applyFill="1" applyFont="1">
      <alignment shrinkToFit="0" vertical="center" wrapText="1"/>
    </xf>
    <xf borderId="5" fillId="9" fontId="6" numFmtId="0" xfId="0" applyAlignment="1" applyBorder="1" applyFont="1">
      <alignment horizontal="center" readingOrder="0" shrinkToFit="0" vertical="center" wrapText="1"/>
    </xf>
    <xf borderId="0" fillId="9" fontId="10" numFmtId="164" xfId="0" applyAlignment="1" applyFont="1" applyNumberFormat="1">
      <alignment horizontal="center" readingOrder="0" vertical="center"/>
    </xf>
    <xf borderId="9" fillId="9" fontId="6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1" fillId="3" fontId="24" numFmtId="0" xfId="0" applyAlignment="1" applyBorder="1" applyFont="1">
      <alignment horizontal="center" readingOrder="0" vertical="center"/>
    </xf>
    <xf borderId="0" fillId="3" fontId="18" numFmtId="0" xfId="0" applyFont="1"/>
    <xf borderId="0" fillId="3" fontId="4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3" fontId="4" numFmtId="164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7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2" max="12" width="13.11"/>
    <col customWidth="1" min="18" max="18" width="16.44"/>
    <col customWidth="1" min="19" max="19" width="18.89"/>
  </cols>
  <sheetData>
    <row r="1" ht="37.5" customHeight="1">
      <c r="A1" s="1" t="s">
        <v>0</v>
      </c>
      <c r="B1" s="2"/>
      <c r="C1" s="3" t="s">
        <v>1</v>
      </c>
      <c r="D1" s="3" t="s">
        <v>1</v>
      </c>
      <c r="E1" s="3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10" t="s">
        <v>16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SUM(P2:P70)</f>
        <v>0</v>
      </c>
      <c r="S2" s="17">
        <f t="shared" si="1"/>
        <v>65000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19</v>
      </c>
      <c r="C4" s="24"/>
      <c r="D4" s="24"/>
      <c r="E4" s="24"/>
      <c r="F4" s="24"/>
      <c r="G4" s="25"/>
      <c r="H4" s="26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30" t="s">
        <v>20</v>
      </c>
      <c r="B5" s="31" t="s">
        <v>17</v>
      </c>
      <c r="C5" s="32"/>
      <c r="D5" s="32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0</v>
      </c>
      <c r="R5" s="36"/>
      <c r="S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22"/>
      <c r="B7" s="40" t="s">
        <v>19</v>
      </c>
      <c r="C7" s="41"/>
      <c r="D7" s="41"/>
      <c r="E7" s="41"/>
      <c r="F7" s="41"/>
      <c r="G7" s="42"/>
      <c r="H7" s="42"/>
      <c r="I7" s="42"/>
      <c r="J7" s="42"/>
      <c r="K7" s="42"/>
      <c r="L7" s="42"/>
      <c r="M7" s="42"/>
      <c r="N7" s="42"/>
      <c r="O7" s="42"/>
      <c r="P7" s="43"/>
      <c r="Q7" s="22"/>
      <c r="R7" s="36"/>
      <c r="S7" s="36"/>
    </row>
    <row r="8" ht="18.75" customHeight="1">
      <c r="A8" s="10" t="s">
        <v>21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4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19</v>
      </c>
      <c r="C10" s="45"/>
      <c r="D10" s="45"/>
      <c r="E10" s="45"/>
      <c r="F10" s="45"/>
      <c r="G10" s="46"/>
      <c r="H10" s="47"/>
      <c r="I10" s="27"/>
      <c r="J10" s="27"/>
      <c r="K10" s="27"/>
      <c r="L10" s="27"/>
      <c r="M10" s="27"/>
      <c r="N10" s="27"/>
      <c r="O10" s="27"/>
      <c r="P10" s="43"/>
      <c r="Q10" s="22"/>
      <c r="R10" s="36"/>
      <c r="S10" s="36"/>
    </row>
    <row r="11" ht="18.75" customHeight="1">
      <c r="A11" s="30" t="s">
        <v>22</v>
      </c>
      <c r="B11" s="31" t="s">
        <v>17</v>
      </c>
      <c r="C11" s="32"/>
      <c r="D11" s="32"/>
      <c r="E11" s="32"/>
      <c r="F11" s="32"/>
      <c r="G11" s="32"/>
      <c r="H11" s="32"/>
      <c r="I11" s="32"/>
      <c r="J11" s="48"/>
      <c r="K11" s="48"/>
      <c r="L11" s="48"/>
      <c r="M11" s="48"/>
      <c r="N11" s="48"/>
      <c r="O11" s="48"/>
      <c r="P11" s="44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40" t="s">
        <v>19</v>
      </c>
      <c r="C13" s="49"/>
      <c r="D13" s="49"/>
      <c r="E13" s="49"/>
      <c r="F13" s="49"/>
      <c r="G13" s="49"/>
      <c r="H13" s="49"/>
      <c r="I13" s="50"/>
      <c r="J13" s="51"/>
      <c r="K13" s="51"/>
      <c r="L13" s="51"/>
      <c r="M13" s="51"/>
      <c r="N13" s="51"/>
      <c r="O13" s="51"/>
      <c r="P13" s="43"/>
      <c r="Q13" s="22"/>
      <c r="R13" s="36"/>
      <c r="S13" s="36"/>
    </row>
    <row r="14" ht="18.75" customHeight="1">
      <c r="A14" s="10" t="s">
        <v>23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4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19</v>
      </c>
      <c r="C16" s="25"/>
      <c r="D16" s="25"/>
      <c r="E16" s="25"/>
      <c r="F16" s="25"/>
      <c r="G16" s="27"/>
      <c r="H16" s="27"/>
      <c r="I16" s="27"/>
      <c r="J16" s="27"/>
      <c r="K16" s="27"/>
      <c r="L16" s="27"/>
      <c r="M16" s="27"/>
      <c r="N16" s="27"/>
      <c r="O16" s="27"/>
      <c r="P16" s="43"/>
      <c r="Q16" s="22"/>
      <c r="R16" s="36"/>
      <c r="S16" s="36"/>
    </row>
    <row r="17" ht="18.75" customHeight="1">
      <c r="A17" s="30" t="s">
        <v>24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4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19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22"/>
      <c r="R19" s="36"/>
      <c r="S19" s="36"/>
    </row>
    <row r="20" ht="18.75" customHeight="1">
      <c r="A20" s="10" t="s">
        <v>25</v>
      </c>
      <c r="B20" s="11" t="s">
        <v>17</v>
      </c>
      <c r="C20" s="12">
        <v>35000.0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4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B21" s="18" t="s">
        <v>18</v>
      </c>
      <c r="C21" s="19" t="s">
        <v>26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19</v>
      </c>
      <c r="C22" s="25">
        <v>45992.0</v>
      </c>
      <c r="D22" s="25"/>
      <c r="E22" s="25"/>
      <c r="F22" s="25"/>
      <c r="G22" s="25"/>
      <c r="H22" s="27"/>
      <c r="I22" s="27"/>
      <c r="J22" s="27"/>
      <c r="K22" s="27"/>
      <c r="L22" s="27"/>
      <c r="M22" s="27"/>
      <c r="N22" s="27"/>
      <c r="O22" s="27"/>
      <c r="P22" s="43"/>
      <c r="Q22" s="22"/>
      <c r="R22" s="36"/>
      <c r="S22" s="36"/>
    </row>
    <row r="23" ht="18.75" customHeight="1">
      <c r="A23" s="30" t="s">
        <v>27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4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22"/>
      <c r="B25" s="40" t="s">
        <v>19</v>
      </c>
      <c r="C25" s="49"/>
      <c r="D25" s="49"/>
      <c r="E25" s="49"/>
      <c r="F25" s="49"/>
      <c r="G25" s="51"/>
      <c r="H25" s="42"/>
      <c r="I25" s="42"/>
      <c r="J25" s="42"/>
      <c r="K25" s="42"/>
      <c r="L25" s="42"/>
      <c r="M25" s="42"/>
      <c r="N25" s="42"/>
      <c r="O25" s="42"/>
      <c r="P25" s="43"/>
      <c r="Q25" s="22"/>
      <c r="R25" s="36"/>
      <c r="S25" s="36"/>
    </row>
    <row r="26" ht="18.75" customHeight="1">
      <c r="A26" s="10" t="s">
        <v>28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4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19</v>
      </c>
      <c r="C28" s="25"/>
      <c r="D28" s="25"/>
      <c r="E28" s="25"/>
      <c r="F28" s="25"/>
      <c r="G28" s="27"/>
      <c r="H28" s="27"/>
      <c r="I28" s="27"/>
      <c r="J28" s="27"/>
      <c r="K28" s="27"/>
      <c r="L28" s="27"/>
      <c r="M28" s="27"/>
      <c r="N28" s="27"/>
      <c r="O28" s="27"/>
      <c r="P28" s="43"/>
      <c r="Q28" s="22"/>
      <c r="R28" s="36"/>
      <c r="S28" s="36"/>
    </row>
    <row r="29" ht="18.75" customHeight="1">
      <c r="A29" s="30" t="s">
        <v>29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4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19</v>
      </c>
      <c r="C31" s="49"/>
      <c r="D31" s="49"/>
      <c r="E31" s="49"/>
      <c r="F31" s="49"/>
      <c r="G31" s="49"/>
      <c r="H31" s="51"/>
      <c r="I31" s="42"/>
      <c r="J31" s="42"/>
      <c r="K31" s="42"/>
      <c r="L31" s="42"/>
      <c r="M31" s="42"/>
      <c r="N31" s="42"/>
      <c r="O31" s="42"/>
      <c r="P31" s="43"/>
      <c r="Q31" s="22"/>
      <c r="R31" s="36"/>
      <c r="S31" s="36"/>
    </row>
    <row r="32" ht="18.75" customHeight="1">
      <c r="A32" s="10" t="s">
        <v>30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4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19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3"/>
      <c r="Q34" s="22"/>
      <c r="R34" s="36"/>
      <c r="S34" s="36"/>
    </row>
    <row r="35" ht="18.75" customHeight="1">
      <c r="A35" s="30" t="s">
        <v>31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4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19</v>
      </c>
      <c r="C37" s="51"/>
      <c r="D37" s="51"/>
      <c r="E37" s="51"/>
      <c r="F37" s="51"/>
      <c r="G37" s="51"/>
      <c r="H37" s="42"/>
      <c r="I37" s="42"/>
      <c r="J37" s="42"/>
      <c r="K37" s="42"/>
      <c r="L37" s="42"/>
      <c r="M37" s="42"/>
      <c r="N37" s="42"/>
      <c r="O37" s="42"/>
      <c r="P37" s="43"/>
      <c r="Q37" s="22"/>
      <c r="R37" s="36"/>
      <c r="S37" s="36"/>
    </row>
    <row r="38" ht="18.75" customHeight="1">
      <c r="A38" s="10" t="s">
        <v>32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4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45"/>
      <c r="I40" s="25"/>
      <c r="J40" s="25"/>
      <c r="K40" s="25"/>
      <c r="L40" s="25"/>
      <c r="M40" s="25"/>
      <c r="N40" s="25"/>
      <c r="O40" s="25"/>
      <c r="P40" s="43"/>
      <c r="Q40" s="22"/>
      <c r="R40" s="36"/>
      <c r="S40" s="36"/>
    </row>
    <row r="41" ht="18.75" customHeight="1">
      <c r="A41" s="30" t="s">
        <v>33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4">
        <f>SUMIF(G42:O42,"Efectivo",G41:O41)</f>
        <v>0</v>
      </c>
      <c r="Q41" s="15">
        <f>SUMIF(G42:O42,"Mercado Pago",G41:O41)</f>
        <v>0</v>
      </c>
      <c r="R41" s="36"/>
      <c r="S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R42" s="36"/>
      <c r="S42" s="36"/>
    </row>
    <row r="43" ht="18.75" customHeight="1">
      <c r="A43" s="22"/>
      <c r="B43" s="40" t="s">
        <v>19</v>
      </c>
      <c r="C43" s="52"/>
      <c r="D43" s="52"/>
      <c r="E43" s="52"/>
      <c r="F43" s="52"/>
      <c r="G43" s="49"/>
      <c r="H43" s="51"/>
      <c r="I43" s="42"/>
      <c r="J43" s="42"/>
      <c r="K43" s="42"/>
      <c r="L43" s="42"/>
      <c r="M43" s="42"/>
      <c r="N43" s="42"/>
      <c r="O43" s="42"/>
      <c r="P43" s="43"/>
      <c r="Q43" s="22"/>
      <c r="R43" s="36"/>
      <c r="S43" s="36"/>
    </row>
    <row r="44" ht="18.75" customHeight="1">
      <c r="B44" s="11" t="s">
        <v>17</v>
      </c>
      <c r="C44" s="12"/>
      <c r="D44" s="12"/>
      <c r="E44" s="12">
        <v>25000.0</v>
      </c>
      <c r="F44" s="12">
        <v>30000.0</v>
      </c>
      <c r="G44" s="12">
        <v>30000.0</v>
      </c>
      <c r="H44" s="12"/>
      <c r="I44" s="12"/>
      <c r="J44" s="12"/>
      <c r="K44" s="12"/>
      <c r="L44" s="12"/>
      <c r="M44" s="12"/>
      <c r="N44" s="12"/>
      <c r="O44" s="12"/>
      <c r="P44" s="44">
        <f>SUMIF(G45:O45,"Efectivo",G44:O44)</f>
        <v>0</v>
      </c>
      <c r="Q44" s="15">
        <f>SUMIF(G45:O45,"Mercado Pago",G44:O44)</f>
        <v>30000</v>
      </c>
      <c r="R44" s="36"/>
      <c r="S44" s="36"/>
    </row>
    <row r="45" ht="18.75" customHeight="1">
      <c r="A45" s="53" t="s">
        <v>34</v>
      </c>
      <c r="B45" s="18" t="s">
        <v>18</v>
      </c>
      <c r="C45" s="19"/>
      <c r="D45" s="19"/>
      <c r="E45" s="19" t="s">
        <v>26</v>
      </c>
      <c r="F45" s="19" t="s">
        <v>35</v>
      </c>
      <c r="G45" s="19" t="s">
        <v>35</v>
      </c>
      <c r="H45" s="19"/>
      <c r="I45" s="19"/>
      <c r="J45" s="19"/>
      <c r="K45" s="19"/>
      <c r="L45" s="19"/>
      <c r="M45" s="19"/>
      <c r="N45" s="19"/>
      <c r="O45" s="19"/>
      <c r="P45" s="39"/>
      <c r="R45" s="36"/>
      <c r="S45" s="36"/>
    </row>
    <row r="46" ht="18.75" customHeight="1">
      <c r="B46" s="23" t="s">
        <v>19</v>
      </c>
      <c r="C46" s="45"/>
      <c r="D46" s="45"/>
      <c r="E46" s="45">
        <v>45793.0</v>
      </c>
      <c r="F46" s="45">
        <v>46098.0</v>
      </c>
      <c r="G46" s="45">
        <v>46098.0</v>
      </c>
      <c r="H46" s="25"/>
      <c r="I46" s="54"/>
      <c r="J46" s="54"/>
      <c r="K46" s="54"/>
      <c r="L46" s="54"/>
      <c r="M46" s="54"/>
      <c r="N46" s="54"/>
      <c r="O46" s="54"/>
      <c r="P46" s="43"/>
      <c r="Q46" s="22"/>
      <c r="R46" s="36"/>
      <c r="S46" s="36"/>
    </row>
    <row r="47" ht="18.75" customHeight="1">
      <c r="A47" s="30" t="s">
        <v>36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44">
        <f>SUMIF(G48:O48,"Efectivo",G47:O47)</f>
        <v>0</v>
      </c>
      <c r="Q47" s="15">
        <f>SUMIF(G48:O48,"Mercado Pago",G47:O47)</f>
        <v>0</v>
      </c>
      <c r="R47" s="36"/>
      <c r="S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/>
      <c r="R48" s="36"/>
      <c r="S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49"/>
      <c r="I49" s="51"/>
      <c r="J49" s="51"/>
      <c r="K49" s="51"/>
      <c r="L49" s="51"/>
      <c r="M49" s="51"/>
      <c r="N49" s="51"/>
      <c r="O49" s="51"/>
      <c r="P49" s="43"/>
      <c r="Q49" s="22"/>
      <c r="R49" s="36"/>
      <c r="S49" s="36"/>
    </row>
    <row r="50" ht="18.75" customHeight="1">
      <c r="A50" s="10" t="s">
        <v>37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4">
        <f>SUMIF(G51:O51,"Efectivo",G50:O50)</f>
        <v>0</v>
      </c>
      <c r="Q50" s="15">
        <f>SUMIF(G51:O51,"Mercado Pago",G50:O50)</f>
        <v>0</v>
      </c>
      <c r="R50" s="36"/>
      <c r="S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9"/>
      <c r="R51" s="36"/>
      <c r="S51" s="36"/>
    </row>
    <row r="52" ht="18.75" customHeight="1">
      <c r="A52" s="22"/>
      <c r="B52" s="23" t="s">
        <v>19</v>
      </c>
      <c r="C52" s="25"/>
      <c r="D52" s="25"/>
      <c r="E52" s="25"/>
      <c r="F52" s="25"/>
      <c r="G52" s="27"/>
      <c r="H52" s="27"/>
      <c r="I52" s="27"/>
      <c r="J52" s="27"/>
      <c r="K52" s="27"/>
      <c r="L52" s="27"/>
      <c r="M52" s="27"/>
      <c r="N52" s="27"/>
      <c r="O52" s="27"/>
      <c r="P52" s="43"/>
      <c r="Q52" s="22"/>
      <c r="R52" s="36"/>
      <c r="S52" s="36"/>
    </row>
    <row r="53" ht="18.75" customHeight="1">
      <c r="A53" s="30" t="s">
        <v>38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44">
        <f>SUMIF(G54:O54,"Efectivo",G53:O53)</f>
        <v>0</v>
      </c>
      <c r="Q53" s="15">
        <f>SUMIF(G54:O54,"Mercado Pago",G53:O53)</f>
        <v>0</v>
      </c>
      <c r="R53" s="36"/>
      <c r="S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9"/>
      <c r="R54" s="36"/>
      <c r="S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49"/>
      <c r="I55" s="51"/>
      <c r="J55" s="42"/>
      <c r="K55" s="42"/>
      <c r="L55" s="42"/>
      <c r="M55" s="42"/>
      <c r="N55" s="42"/>
      <c r="O55" s="42"/>
      <c r="P55" s="43"/>
      <c r="Q55" s="22"/>
      <c r="R55" s="36"/>
      <c r="S55" s="36"/>
    </row>
    <row r="56" ht="18.75" customHeight="1">
      <c r="A56" s="55" t="s">
        <v>39</v>
      </c>
      <c r="B56" s="11" t="s">
        <v>17</v>
      </c>
      <c r="C56" s="12">
        <v>55000.0</v>
      </c>
      <c r="D56" s="12"/>
      <c r="E56" s="12"/>
      <c r="F56" s="12">
        <v>30000.0</v>
      </c>
      <c r="G56" s="12"/>
      <c r="H56" s="12"/>
      <c r="I56" s="12"/>
      <c r="J56" s="12"/>
      <c r="K56" s="12"/>
      <c r="L56" s="12"/>
      <c r="M56" s="12"/>
      <c r="N56" s="12"/>
      <c r="O56" s="12"/>
      <c r="P56" s="44">
        <f>SUMIF(G57:O57,"Efectivo",G56:O56)</f>
        <v>0</v>
      </c>
      <c r="Q56" s="15">
        <f>SUMIF(G57:O57,"Mercado Pago",G56:O56)</f>
        <v>0</v>
      </c>
      <c r="R56" s="36"/>
      <c r="S56" s="36"/>
    </row>
    <row r="57" ht="18.75" customHeight="1">
      <c r="A57" s="56"/>
      <c r="B57" s="18" t="s">
        <v>18</v>
      </c>
      <c r="C57" s="19" t="s">
        <v>26</v>
      </c>
      <c r="D57" s="19"/>
      <c r="E57" s="19"/>
      <c r="F57" s="19" t="s">
        <v>26</v>
      </c>
      <c r="G57" s="19"/>
      <c r="H57" s="19"/>
      <c r="I57" s="19"/>
      <c r="J57" s="19"/>
      <c r="K57" s="19"/>
      <c r="L57" s="19"/>
      <c r="M57" s="19"/>
      <c r="N57" s="19"/>
      <c r="O57" s="19"/>
      <c r="P57" s="39"/>
      <c r="R57" s="36"/>
      <c r="S57" s="36"/>
    </row>
    <row r="58" ht="18.75" customHeight="1">
      <c r="A58" s="57"/>
      <c r="B58" s="23" t="s">
        <v>19</v>
      </c>
      <c r="C58" s="58">
        <v>45975.0</v>
      </c>
      <c r="D58" s="58"/>
      <c r="E58" s="58"/>
      <c r="F58" s="58">
        <v>46094.0</v>
      </c>
      <c r="G58" s="58"/>
      <c r="H58" s="58"/>
      <c r="I58" s="58"/>
      <c r="J58" s="59"/>
      <c r="K58" s="60"/>
      <c r="L58" s="60"/>
      <c r="M58" s="60"/>
      <c r="N58" s="60"/>
      <c r="O58" s="60"/>
      <c r="P58" s="43"/>
      <c r="Q58" s="22"/>
      <c r="R58" s="36"/>
      <c r="S58" s="36"/>
    </row>
    <row r="59" ht="18.75" customHeight="1">
      <c r="A59" s="61" t="s">
        <v>40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44">
        <f>SUMIF(G60:O60,"Efectivo",G59:O59)</f>
        <v>0</v>
      </c>
      <c r="Q59" s="15">
        <f>SUMIF(G60:O60,"Mercado Pago",G59:O59)</f>
        <v>0</v>
      </c>
      <c r="R59" s="36"/>
      <c r="S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9"/>
      <c r="R60" s="36"/>
      <c r="S60" s="36"/>
    </row>
    <row r="61" ht="18.75" customHeight="1">
      <c r="A61" s="22"/>
      <c r="B61" s="40" t="s">
        <v>19</v>
      </c>
      <c r="C61" s="51"/>
      <c r="D61" s="51"/>
      <c r="E61" s="51"/>
      <c r="F61" s="51"/>
      <c r="G61" s="51"/>
      <c r="H61" s="41"/>
      <c r="I61" s="41"/>
      <c r="J61" s="41"/>
      <c r="K61" s="41"/>
      <c r="L61" s="41"/>
      <c r="M61" s="62"/>
      <c r="N61" s="42"/>
      <c r="O61" s="42"/>
      <c r="P61" s="43"/>
      <c r="Q61" s="22"/>
      <c r="R61" s="36"/>
      <c r="S61" s="36"/>
    </row>
    <row r="62" ht="18.75" customHeight="1">
      <c r="A62" s="63" t="s">
        <v>41</v>
      </c>
      <c r="B62" s="11" t="s">
        <v>17</v>
      </c>
      <c r="C62" s="12">
        <v>35000.0</v>
      </c>
      <c r="D62" s="12">
        <v>35000.0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4">
        <f>SUMIF(G63:O63,"Efectivo",G62:O62)</f>
        <v>0</v>
      </c>
      <c r="Q62" s="15">
        <f>SUMIF(G63:O63,"Mercado Pago",G62:O62)</f>
        <v>0</v>
      </c>
      <c r="R62" s="36"/>
      <c r="S62" s="36"/>
    </row>
    <row r="63" ht="18.75" customHeight="1">
      <c r="B63" s="18" t="s">
        <v>18</v>
      </c>
      <c r="C63" s="19" t="s">
        <v>26</v>
      </c>
      <c r="D63" s="19" t="s">
        <v>26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9"/>
      <c r="R63" s="36"/>
      <c r="S63" s="36"/>
    </row>
    <row r="64" ht="18.75" customHeight="1">
      <c r="A64" s="22"/>
      <c r="B64" s="23" t="s">
        <v>19</v>
      </c>
      <c r="C64" s="45">
        <v>45986.0</v>
      </c>
      <c r="D64" s="45">
        <v>46084.0</v>
      </c>
      <c r="E64" s="45"/>
      <c r="F64" s="45"/>
      <c r="G64" s="26"/>
      <c r="H64" s="26"/>
      <c r="I64" s="26"/>
      <c r="J64" s="26"/>
      <c r="K64" s="26"/>
      <c r="L64" s="26"/>
      <c r="M64" s="27"/>
      <c r="N64" s="27"/>
      <c r="O64" s="27"/>
      <c r="P64" s="43"/>
      <c r="Q64" s="22"/>
      <c r="R64" s="36"/>
      <c r="S64" s="36"/>
    </row>
    <row r="65" ht="18.75" customHeight="1">
      <c r="A65" s="64" t="s">
        <v>42</v>
      </c>
      <c r="B65" s="31" t="s">
        <v>17</v>
      </c>
      <c r="C65" s="32">
        <v>60000.0</v>
      </c>
      <c r="D65" s="32"/>
      <c r="E65" s="32"/>
      <c r="F65" s="32">
        <v>30000.0</v>
      </c>
      <c r="G65" s="32">
        <v>35000.0</v>
      </c>
      <c r="H65" s="32"/>
      <c r="I65" s="32"/>
      <c r="J65" s="32"/>
      <c r="K65" s="32"/>
      <c r="L65" s="32"/>
      <c r="M65" s="32"/>
      <c r="N65" s="32"/>
      <c r="O65" s="32"/>
      <c r="P65" s="44">
        <f>SUMIF(G66:O66,"Efectivo",G65:O65)</f>
        <v>0</v>
      </c>
      <c r="Q65" s="15">
        <f>SUMIF(G66:O66,"Mercado Pago",G65:O65)</f>
        <v>35000</v>
      </c>
      <c r="R65" s="65" t="s">
        <v>43</v>
      </c>
      <c r="S65" s="36"/>
    </row>
    <row r="66" ht="18.75" customHeight="1">
      <c r="B66" s="37" t="s">
        <v>18</v>
      </c>
      <c r="C66" s="38" t="s">
        <v>26</v>
      </c>
      <c r="D66" s="38"/>
      <c r="E66" s="38"/>
      <c r="F66" s="38" t="s">
        <v>35</v>
      </c>
      <c r="G66" s="38" t="s">
        <v>35</v>
      </c>
      <c r="H66" s="38"/>
      <c r="I66" s="38"/>
      <c r="J66" s="38"/>
      <c r="K66" s="38"/>
      <c r="L66" s="38"/>
      <c r="M66" s="38"/>
      <c r="N66" s="38"/>
      <c r="O66" s="38"/>
      <c r="P66" s="39"/>
      <c r="R66" s="36"/>
      <c r="S66" s="36"/>
    </row>
    <row r="67" ht="18.75" customHeight="1">
      <c r="A67" s="22"/>
      <c r="B67" s="40" t="s">
        <v>19</v>
      </c>
      <c r="C67" s="49">
        <v>46071.0</v>
      </c>
      <c r="D67" s="49"/>
      <c r="E67" s="49"/>
      <c r="F67" s="49">
        <v>46099.0</v>
      </c>
      <c r="G67" s="49">
        <v>46141.0</v>
      </c>
      <c r="H67" s="52"/>
      <c r="I67" s="52"/>
      <c r="J67" s="66"/>
      <c r="K67" s="66"/>
      <c r="L67" s="66"/>
      <c r="M67" s="66"/>
      <c r="N67" s="66"/>
      <c r="O67" s="66"/>
      <c r="P67" s="43"/>
      <c r="Q67" s="22"/>
      <c r="R67" s="36"/>
      <c r="S67" s="36"/>
    </row>
    <row r="68" ht="18.75" customHeight="1">
      <c r="A68" s="63" t="s">
        <v>44</v>
      </c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4">
        <f>SUMIF(G69:O69,"Efectivo",G68:O68)</f>
        <v>0</v>
      </c>
      <c r="Q68" s="15">
        <f>SUMIF(G69:O69,"Mercado Pago",G68:O68)</f>
        <v>0</v>
      </c>
      <c r="R68" s="36"/>
      <c r="S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39"/>
      <c r="R69" s="36"/>
      <c r="S69" s="36"/>
    </row>
    <row r="70">
      <c r="A70" s="22"/>
      <c r="B70" s="23" t="s">
        <v>19</v>
      </c>
      <c r="C70" s="45"/>
      <c r="D70" s="45"/>
      <c r="E70" s="45"/>
      <c r="F70" s="45"/>
      <c r="G70" s="45"/>
      <c r="H70" s="25"/>
      <c r="I70" s="25"/>
      <c r="J70" s="25"/>
      <c r="K70" s="25"/>
      <c r="L70" s="25"/>
      <c r="M70" s="25"/>
      <c r="N70" s="25"/>
      <c r="O70" s="25"/>
      <c r="P70" s="43"/>
      <c r="Q70" s="22"/>
      <c r="R70" s="36"/>
      <c r="S70" s="36"/>
    </row>
    <row r="71">
      <c r="A71" s="63" t="s">
        <v>45</v>
      </c>
      <c r="B71" s="11" t="s">
        <v>17</v>
      </c>
      <c r="C71" s="12"/>
      <c r="D71" s="12">
        <v>60000.0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44">
        <f>SUMIF(G72:O72,"Efectivo",G71:O71)</f>
        <v>0</v>
      </c>
      <c r="Q71" s="15">
        <f>SUMIF(G72:O72,"Mercado Pago",G71:O71)</f>
        <v>0</v>
      </c>
      <c r="R71" s="36"/>
      <c r="S71" s="36"/>
    </row>
    <row r="72">
      <c r="B72" s="18" t="s">
        <v>18</v>
      </c>
      <c r="C72" s="19"/>
      <c r="D72" s="19" t="s">
        <v>26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39"/>
      <c r="R72" s="36"/>
      <c r="S72" s="36"/>
    </row>
    <row r="73">
      <c r="A73" s="22"/>
      <c r="B73" s="23" t="s">
        <v>19</v>
      </c>
      <c r="C73" s="45"/>
      <c r="D73" s="45">
        <v>45973.0</v>
      </c>
      <c r="E73" s="45"/>
      <c r="F73" s="45"/>
      <c r="G73" s="45"/>
      <c r="H73" s="25"/>
      <c r="I73" s="25"/>
      <c r="J73" s="25"/>
      <c r="K73" s="25"/>
      <c r="L73" s="25"/>
      <c r="M73" s="25"/>
      <c r="N73" s="25"/>
      <c r="O73" s="25"/>
      <c r="P73" s="43"/>
      <c r="Q73" s="22"/>
      <c r="R73" s="36"/>
      <c r="S73" s="36"/>
    </row>
    <row r="74">
      <c r="A74" s="63" t="s">
        <v>46</v>
      </c>
      <c r="B74" s="11" t="s">
        <v>17</v>
      </c>
      <c r="C74" s="12">
        <v>35000.0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4">
        <f>SUMIF(G75:O75,"Efectivo",G74:O74)</f>
        <v>0</v>
      </c>
      <c r="Q74" s="15">
        <f>SUMIF(G75:O75,"Mercado Pago",G74:O74)</f>
        <v>0</v>
      </c>
    </row>
    <row r="75">
      <c r="B75" s="18" t="s">
        <v>18</v>
      </c>
      <c r="C75" s="19" t="s">
        <v>26</v>
      </c>
      <c r="D75" s="19" t="s">
        <v>26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39"/>
    </row>
    <row r="76">
      <c r="A76" s="22"/>
      <c r="B76" s="23" t="s">
        <v>19</v>
      </c>
      <c r="C76" s="45">
        <v>45980.0</v>
      </c>
      <c r="D76" s="45"/>
      <c r="E76" s="45"/>
      <c r="F76" s="45"/>
      <c r="G76" s="45"/>
      <c r="H76" s="25"/>
      <c r="I76" s="25"/>
      <c r="J76" s="25"/>
      <c r="K76" s="25"/>
      <c r="L76" s="25"/>
      <c r="M76" s="25"/>
      <c r="N76" s="25"/>
      <c r="O76" s="25"/>
      <c r="P76" s="43"/>
      <c r="Q76" s="22"/>
    </row>
    <row r="77">
      <c r="A77" s="63" t="s">
        <v>47</v>
      </c>
      <c r="B77" s="11" t="s">
        <v>17</v>
      </c>
      <c r="C77" s="12">
        <v>60000.0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44">
        <f>SUMIF(G78:O78,"Efectivo",G77:O77)</f>
        <v>0</v>
      </c>
      <c r="Q77" s="15">
        <f>SUMIF(G78:O78,"Mercado Pago",G77:O77)</f>
        <v>0</v>
      </c>
    </row>
    <row r="78">
      <c r="B78" s="18" t="s">
        <v>18</v>
      </c>
      <c r="C78" s="19" t="s">
        <v>26</v>
      </c>
      <c r="D78" s="19" t="s">
        <v>26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39"/>
    </row>
    <row r="79">
      <c r="A79" s="22"/>
      <c r="B79" s="23" t="s">
        <v>19</v>
      </c>
      <c r="C79" s="45">
        <v>46006.0</v>
      </c>
      <c r="D79" s="45"/>
      <c r="E79" s="45"/>
      <c r="F79" s="45"/>
      <c r="G79" s="45"/>
      <c r="H79" s="25"/>
      <c r="I79" s="25"/>
      <c r="J79" s="25"/>
      <c r="K79" s="25"/>
      <c r="L79" s="25"/>
      <c r="M79" s="25"/>
      <c r="N79" s="25"/>
      <c r="O79" s="25"/>
      <c r="P79" s="43"/>
      <c r="Q79" s="22"/>
    </row>
    <row r="80">
      <c r="A80" s="63" t="s">
        <v>48</v>
      </c>
      <c r="B80" s="11" t="s">
        <v>17</v>
      </c>
      <c r="C80" s="12"/>
      <c r="D80" s="12"/>
      <c r="E80" s="12"/>
      <c r="F80" s="12">
        <v>30000.0</v>
      </c>
      <c r="G80" s="12"/>
      <c r="H80" s="12"/>
      <c r="I80" s="12"/>
      <c r="J80" s="12"/>
      <c r="K80" s="12"/>
      <c r="L80" s="12"/>
      <c r="M80" s="12"/>
      <c r="N80" s="12"/>
      <c r="O80" s="12"/>
      <c r="P80" s="44">
        <f>SUMIF(G81:O81,"Efectivo",G80:O80)</f>
        <v>0</v>
      </c>
      <c r="Q80" s="15">
        <f>SUMIF(G81:O81,"Mercado Pago",G80:O80)</f>
        <v>0</v>
      </c>
    </row>
    <row r="81">
      <c r="B81" s="18" t="s">
        <v>18</v>
      </c>
      <c r="C81" s="19"/>
      <c r="D81" s="19" t="s">
        <v>26</v>
      </c>
      <c r="E81" s="19"/>
      <c r="F81" s="19" t="s">
        <v>26</v>
      </c>
      <c r="G81" s="19"/>
      <c r="H81" s="19"/>
      <c r="I81" s="19"/>
      <c r="J81" s="19"/>
      <c r="K81" s="19"/>
      <c r="L81" s="19"/>
      <c r="M81" s="19"/>
      <c r="N81" s="19"/>
      <c r="O81" s="19"/>
      <c r="P81" s="39"/>
    </row>
    <row r="82">
      <c r="A82" s="22"/>
      <c r="B82" s="23" t="s">
        <v>19</v>
      </c>
      <c r="C82" s="45"/>
      <c r="D82" s="45"/>
      <c r="E82" s="45"/>
      <c r="F82" s="45">
        <v>46106.0</v>
      </c>
      <c r="G82" s="45"/>
      <c r="H82" s="25"/>
      <c r="I82" s="25"/>
      <c r="J82" s="25"/>
      <c r="K82" s="25"/>
      <c r="L82" s="25"/>
      <c r="M82" s="25"/>
      <c r="N82" s="25"/>
      <c r="O82" s="25"/>
      <c r="P82" s="43"/>
      <c r="Q82" s="22"/>
    </row>
    <row r="83">
      <c r="A83" s="67"/>
      <c r="B83" s="68"/>
      <c r="C83" s="68"/>
      <c r="D83" s="68"/>
      <c r="E83" s="68"/>
      <c r="F83" s="68"/>
      <c r="G83" s="68"/>
      <c r="H83" s="68"/>
      <c r="I83" s="68"/>
      <c r="J83" s="68"/>
    </row>
    <row r="84">
      <c r="A84" s="67"/>
      <c r="B84" s="68"/>
      <c r="C84" s="68"/>
      <c r="D84" s="68"/>
      <c r="E84" s="68"/>
      <c r="F84" s="68"/>
      <c r="G84" s="68"/>
      <c r="H84" s="68"/>
      <c r="I84" s="68"/>
      <c r="J84" s="68"/>
    </row>
    <row r="85">
      <c r="A85" s="67"/>
      <c r="B85" s="68"/>
      <c r="C85" s="68"/>
      <c r="D85" s="68"/>
      <c r="E85" s="68"/>
      <c r="F85" s="68"/>
      <c r="G85" s="68"/>
      <c r="H85" s="68"/>
      <c r="I85" s="68"/>
      <c r="J85" s="68"/>
    </row>
    <row r="86">
      <c r="A86" s="67"/>
      <c r="B86" s="68"/>
      <c r="C86" s="68"/>
      <c r="D86" s="68"/>
      <c r="E86" s="68"/>
      <c r="F86" s="68"/>
      <c r="G86" s="68"/>
      <c r="H86" s="68"/>
      <c r="I86" s="68"/>
      <c r="J86" s="68"/>
    </row>
    <row r="87">
      <c r="A87" s="67"/>
      <c r="B87" s="68"/>
      <c r="C87" s="68"/>
      <c r="D87" s="68"/>
      <c r="E87" s="68"/>
      <c r="F87" s="68"/>
      <c r="G87" s="68"/>
      <c r="H87" s="68"/>
      <c r="I87" s="68"/>
      <c r="J87" s="68"/>
    </row>
    <row r="88">
      <c r="A88" s="67"/>
      <c r="B88" s="68"/>
      <c r="C88" s="68"/>
      <c r="D88" s="68"/>
      <c r="E88" s="68"/>
      <c r="F88" s="68"/>
      <c r="G88" s="68"/>
      <c r="H88" s="68"/>
      <c r="I88" s="68"/>
      <c r="J88" s="68"/>
    </row>
    <row r="89">
      <c r="A89" s="67"/>
      <c r="B89" s="68"/>
      <c r="C89" s="68"/>
      <c r="D89" s="68"/>
      <c r="E89" s="68"/>
      <c r="F89" s="68"/>
      <c r="G89" s="68"/>
      <c r="H89" s="68"/>
      <c r="I89" s="68"/>
      <c r="J89" s="68"/>
    </row>
    <row r="90">
      <c r="A90" s="67"/>
      <c r="B90" s="68"/>
      <c r="C90" s="68"/>
      <c r="D90" s="68"/>
      <c r="E90" s="68"/>
      <c r="F90" s="68"/>
      <c r="G90" s="68"/>
      <c r="H90" s="68"/>
      <c r="I90" s="68"/>
      <c r="J90" s="68"/>
    </row>
    <row r="91">
      <c r="A91" s="67"/>
      <c r="B91" s="68"/>
      <c r="C91" s="68"/>
      <c r="D91" s="68"/>
      <c r="E91" s="68"/>
      <c r="F91" s="68"/>
      <c r="G91" s="68"/>
      <c r="H91" s="68"/>
      <c r="I91" s="68"/>
      <c r="J91" s="68"/>
    </row>
    <row r="92">
      <c r="A92" s="67"/>
      <c r="B92" s="68"/>
      <c r="C92" s="68"/>
      <c r="D92" s="68"/>
      <c r="E92" s="68"/>
      <c r="F92" s="68"/>
      <c r="G92" s="68"/>
      <c r="H92" s="68"/>
      <c r="I92" s="68"/>
      <c r="J92" s="68"/>
    </row>
    <row r="93">
      <c r="A93" s="67"/>
      <c r="B93" s="68"/>
      <c r="C93" s="68"/>
      <c r="D93" s="68"/>
      <c r="E93" s="68"/>
      <c r="F93" s="68"/>
      <c r="G93" s="68"/>
      <c r="H93" s="68"/>
      <c r="I93" s="68"/>
      <c r="J93" s="68"/>
    </row>
    <row r="94">
      <c r="A94" s="67"/>
      <c r="B94" s="68"/>
      <c r="C94" s="68"/>
      <c r="D94" s="68"/>
      <c r="E94" s="68"/>
      <c r="F94" s="68"/>
      <c r="G94" s="68"/>
      <c r="H94" s="68"/>
      <c r="I94" s="68"/>
      <c r="J94" s="68"/>
    </row>
    <row r="95">
      <c r="A95" s="67"/>
      <c r="B95" s="68"/>
      <c r="C95" s="68"/>
      <c r="D95" s="68"/>
      <c r="E95" s="68"/>
      <c r="F95" s="68"/>
      <c r="G95" s="68"/>
      <c r="H95" s="68"/>
      <c r="I95" s="68"/>
      <c r="J95" s="68"/>
    </row>
    <row r="96">
      <c r="A96" s="67"/>
      <c r="B96" s="68"/>
      <c r="C96" s="68"/>
      <c r="D96" s="68"/>
      <c r="E96" s="68"/>
      <c r="F96" s="68"/>
      <c r="G96" s="68"/>
      <c r="H96" s="68"/>
      <c r="I96" s="68"/>
      <c r="J96" s="68"/>
    </row>
    <row r="97">
      <c r="A97" s="67"/>
      <c r="B97" s="68"/>
      <c r="C97" s="68"/>
      <c r="D97" s="68"/>
      <c r="E97" s="68"/>
      <c r="F97" s="68"/>
      <c r="G97" s="68"/>
      <c r="H97" s="68"/>
      <c r="I97" s="68"/>
      <c r="J97" s="68"/>
    </row>
    <row r="98">
      <c r="A98" s="67"/>
      <c r="B98" s="68"/>
      <c r="C98" s="68"/>
      <c r="D98" s="68"/>
      <c r="E98" s="68"/>
      <c r="F98" s="68"/>
      <c r="G98" s="68"/>
      <c r="H98" s="68"/>
      <c r="I98" s="68"/>
      <c r="J98" s="68"/>
    </row>
    <row r="99">
      <c r="A99" s="67"/>
      <c r="B99" s="68"/>
      <c r="C99" s="68"/>
      <c r="D99" s="68"/>
      <c r="E99" s="68"/>
      <c r="F99" s="68"/>
      <c r="G99" s="68"/>
      <c r="H99" s="68"/>
      <c r="I99" s="68"/>
      <c r="J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  <c r="J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83">
    <mergeCell ref="A26:A28"/>
    <mergeCell ref="A29:A31"/>
    <mergeCell ref="A32:A34"/>
    <mergeCell ref="A35:A37"/>
    <mergeCell ref="A38:A40"/>
    <mergeCell ref="A41:A43"/>
    <mergeCell ref="A47:A49"/>
    <mergeCell ref="A74:A76"/>
    <mergeCell ref="A77:A79"/>
    <mergeCell ref="A80:A82"/>
    <mergeCell ref="A119:A121"/>
    <mergeCell ref="A122:A124"/>
    <mergeCell ref="A50:A52"/>
    <mergeCell ref="A53:A55"/>
    <mergeCell ref="A59:A61"/>
    <mergeCell ref="A62:A64"/>
    <mergeCell ref="A65:A67"/>
    <mergeCell ref="A68:A70"/>
    <mergeCell ref="A71:A73"/>
    <mergeCell ref="Q41:Q43"/>
    <mergeCell ref="Q44:Q46"/>
    <mergeCell ref="Q47:Q49"/>
    <mergeCell ref="Q50:Q52"/>
    <mergeCell ref="Q53:Q55"/>
    <mergeCell ref="Q56:Q58"/>
    <mergeCell ref="Q59:Q61"/>
    <mergeCell ref="P74:P76"/>
    <mergeCell ref="P77:P79"/>
    <mergeCell ref="P80:P82"/>
    <mergeCell ref="Q77:Q79"/>
    <mergeCell ref="Q80:Q82"/>
    <mergeCell ref="Q62:Q64"/>
    <mergeCell ref="Q65:Q67"/>
    <mergeCell ref="P68:P70"/>
    <mergeCell ref="Q68:Q70"/>
    <mergeCell ref="P71:P73"/>
    <mergeCell ref="Q71:Q73"/>
    <mergeCell ref="Q74:Q76"/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5:A7"/>
    <mergeCell ref="A8:A10"/>
    <mergeCell ref="A11:A13"/>
    <mergeCell ref="A14:A16"/>
    <mergeCell ref="A17:A19"/>
    <mergeCell ref="A20:A22"/>
    <mergeCell ref="A23:A25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Q38:Q40"/>
    <mergeCell ref="P59:P61"/>
    <mergeCell ref="P62:P64"/>
    <mergeCell ref="P65:P67"/>
    <mergeCell ref="P38:P40"/>
    <mergeCell ref="P41:P43"/>
    <mergeCell ref="P44:P46"/>
    <mergeCell ref="P47:P49"/>
    <mergeCell ref="P50:P52"/>
    <mergeCell ref="P53:P55"/>
    <mergeCell ref="P56:P58"/>
  </mergeCells>
  <dataValidations>
    <dataValidation type="list" allowBlank="1" showErrorMessage="1" sqref="C3:O3 C6:O6 C9:O9 C12:O12 C15:O15 C18:O18 C21:O21 C24:O24 C27:O27 C30:O30 C33:O33 C36:O36 C39:O39 C42:O42 C45:O45 C48:O48 C51:O51 C54:O54 C57:O57 C60:O60 C63:O63 C66:O66 C69:O69 C72:O72 C75:O75 C78:O78 C81:O81">
      <formula1>"Efectivo,Mercado Pago"</formula1>
    </dataValidation>
    <dataValidation type="custom" allowBlank="1" showDropDown="1" sqref="C4:O4 C7:O7 C10:O10 C13:O13 C16:O16 C19:O19 C22:O22 C25:O25 C28:O28 C31:O31 C34:O34 C37:O37 C40:O40 C43:O43 C46:O46 C49:O49 C52:O52 C55:O55 C58:O58 C61:O61 C64:O64 C67:O67 C70:O70 C73:O73 C76:O76 C79:O79 C82:O82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22"/>
  </cols>
  <sheetData>
    <row r="1">
      <c r="A1" s="69" t="s">
        <v>0</v>
      </c>
      <c r="B1" s="70"/>
      <c r="C1" s="71" t="s">
        <v>1</v>
      </c>
      <c r="D1" s="71" t="s">
        <v>1</v>
      </c>
      <c r="E1" s="72" t="s">
        <v>2</v>
      </c>
      <c r="F1" s="73" t="s">
        <v>3</v>
      </c>
      <c r="G1" s="72" t="s">
        <v>4</v>
      </c>
      <c r="H1" s="73" t="s">
        <v>5</v>
      </c>
      <c r="I1" s="72" t="s">
        <v>6</v>
      </c>
      <c r="J1" s="73" t="s">
        <v>7</v>
      </c>
      <c r="K1" s="72" t="s">
        <v>8</v>
      </c>
      <c r="L1" s="73" t="s">
        <v>9</v>
      </c>
      <c r="M1" s="72" t="s">
        <v>10</v>
      </c>
      <c r="N1" s="73" t="s">
        <v>11</v>
      </c>
      <c r="O1" s="74" t="s">
        <v>12</v>
      </c>
      <c r="P1" s="75" t="s">
        <v>13</v>
      </c>
      <c r="Q1" s="76" t="s">
        <v>14</v>
      </c>
      <c r="R1" s="77" t="s">
        <v>15</v>
      </c>
    </row>
    <row r="2">
      <c r="A2" s="78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4"/>
      <c r="Q2" s="35"/>
      <c r="R2" s="36"/>
    </row>
    <row r="3">
      <c r="A3" s="79"/>
      <c r="B3" s="40"/>
      <c r="C3" s="52"/>
      <c r="D3" s="52"/>
      <c r="E3" s="52"/>
      <c r="F3" s="52"/>
      <c r="G3" s="49"/>
      <c r="H3" s="51"/>
      <c r="I3" s="42"/>
      <c r="J3" s="42"/>
      <c r="K3" s="42"/>
      <c r="L3" s="42"/>
      <c r="M3" s="42"/>
      <c r="N3" s="42"/>
      <c r="O3" s="42"/>
      <c r="P3" s="80"/>
      <c r="Q3" s="81"/>
      <c r="R3" s="36"/>
    </row>
    <row r="4">
      <c r="B4" s="11" t="s">
        <v>17</v>
      </c>
      <c r="C4" s="12"/>
      <c r="D4" s="12"/>
      <c r="E4" s="12">
        <v>30000.0</v>
      </c>
      <c r="F4" s="12">
        <v>35000.0</v>
      </c>
      <c r="G4" s="12"/>
      <c r="H4" s="12"/>
      <c r="I4" s="12"/>
      <c r="J4" s="12"/>
      <c r="K4" s="12"/>
      <c r="L4" s="12"/>
      <c r="M4" s="12"/>
      <c r="N4" s="12"/>
      <c r="O4" s="12"/>
      <c r="P4" s="44">
        <f>SUMIF(G5:O5,"Efectivo",G4:O4)</f>
        <v>0</v>
      </c>
      <c r="Q4" s="15">
        <f>SUMIF(G5:O5,"Mercado Pago",G4:O4)</f>
        <v>0</v>
      </c>
      <c r="R4" s="36"/>
    </row>
    <row r="5">
      <c r="A5" s="53" t="s">
        <v>49</v>
      </c>
      <c r="B5" s="18" t="s">
        <v>18</v>
      </c>
      <c r="C5" s="19"/>
      <c r="D5" s="19"/>
      <c r="E5" s="19" t="s">
        <v>35</v>
      </c>
      <c r="F5" s="19" t="s">
        <v>35</v>
      </c>
      <c r="G5" s="19"/>
      <c r="H5" s="19"/>
      <c r="I5" s="19"/>
      <c r="J5" s="19"/>
      <c r="K5" s="19"/>
      <c r="L5" s="19"/>
      <c r="M5" s="19"/>
      <c r="N5" s="19"/>
      <c r="O5" s="19"/>
      <c r="P5" s="39"/>
      <c r="R5" s="36"/>
    </row>
    <row r="6">
      <c r="B6" s="23" t="s">
        <v>19</v>
      </c>
      <c r="C6" s="45"/>
      <c r="D6" s="45"/>
      <c r="E6" s="45">
        <v>46113.0</v>
      </c>
      <c r="F6" s="45">
        <v>46113.0</v>
      </c>
      <c r="G6" s="45"/>
      <c r="H6" s="25"/>
      <c r="I6" s="54"/>
      <c r="J6" s="54"/>
      <c r="K6" s="54"/>
      <c r="L6" s="54"/>
      <c r="M6" s="54"/>
      <c r="N6" s="54"/>
      <c r="O6" s="54"/>
      <c r="P6" s="43"/>
      <c r="Q6" s="22"/>
      <c r="R6" s="36"/>
    </row>
    <row r="7">
      <c r="A7" s="30"/>
      <c r="B7" s="31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44">
        <f>SUMIF(G8:O8,"Efectivo",G7:O7)</f>
        <v>0</v>
      </c>
      <c r="Q7" s="15">
        <f>SUMIF(G8:O8,"Mercado Pago",G7:O7)</f>
        <v>0</v>
      </c>
      <c r="R7" s="36"/>
    </row>
    <row r="8">
      <c r="B8" s="37" t="s">
        <v>18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R8" s="36"/>
    </row>
    <row r="9">
      <c r="A9" s="22"/>
      <c r="B9" s="40" t="s">
        <v>19</v>
      </c>
      <c r="C9" s="49"/>
      <c r="D9" s="49"/>
      <c r="E9" s="49"/>
      <c r="F9" s="49"/>
      <c r="G9" s="49"/>
      <c r="H9" s="49"/>
      <c r="I9" s="51"/>
      <c r="J9" s="51"/>
      <c r="K9" s="51"/>
      <c r="L9" s="51"/>
      <c r="M9" s="51"/>
      <c r="N9" s="51"/>
      <c r="O9" s="51"/>
      <c r="P9" s="43"/>
      <c r="Q9" s="22"/>
      <c r="R9" s="36"/>
    </row>
    <row r="10">
      <c r="A10" s="10"/>
      <c r="B10" s="11" t="s">
        <v>17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4">
        <f>SUMIF(G11:O11,"Efectivo",G10:O10)</f>
        <v>0</v>
      </c>
      <c r="Q10" s="15">
        <f>SUMIF(G11:O11,"Mercado Pago",G10:O10)</f>
        <v>0</v>
      </c>
      <c r="R10" s="36"/>
    </row>
    <row r="11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39"/>
      <c r="R11" s="36"/>
    </row>
    <row r="12">
      <c r="A12" s="22"/>
      <c r="B12" s="23" t="s">
        <v>19</v>
      </c>
      <c r="C12" s="25"/>
      <c r="D12" s="25"/>
      <c r="E12" s="25"/>
      <c r="F12" s="25"/>
      <c r="G12" s="27"/>
      <c r="H12" s="27"/>
      <c r="I12" s="27"/>
      <c r="J12" s="27"/>
      <c r="K12" s="27"/>
      <c r="L12" s="27"/>
      <c r="M12" s="27"/>
      <c r="N12" s="27"/>
      <c r="O12" s="27"/>
      <c r="P12" s="43"/>
      <c r="Q12" s="22"/>
      <c r="R12" s="36"/>
    </row>
    <row r="13">
      <c r="A13" s="30"/>
      <c r="B13" s="31" t="s">
        <v>17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44">
        <f>SUMIF(G14:O14,"Efectivo",G13:O13)</f>
        <v>0</v>
      </c>
      <c r="Q13" s="15">
        <f>SUMIF(G14:O14,"Mercado Pago",G13:O13)</f>
        <v>0</v>
      </c>
      <c r="R13" s="36"/>
    </row>
    <row r="14">
      <c r="B14" s="37" t="s">
        <v>18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/>
      <c r="R14" s="36"/>
    </row>
    <row r="15">
      <c r="A15" s="22"/>
      <c r="B15" s="40" t="s">
        <v>19</v>
      </c>
      <c r="C15" s="49"/>
      <c r="D15" s="49"/>
      <c r="E15" s="49"/>
      <c r="F15" s="49"/>
      <c r="G15" s="49"/>
      <c r="H15" s="49"/>
      <c r="I15" s="51"/>
      <c r="J15" s="42"/>
      <c r="K15" s="42"/>
      <c r="L15" s="42"/>
      <c r="M15" s="42"/>
      <c r="N15" s="42"/>
      <c r="O15" s="42"/>
      <c r="P15" s="43"/>
      <c r="Q15" s="22"/>
      <c r="R15" s="36"/>
    </row>
    <row r="16">
      <c r="A16" s="55"/>
      <c r="B16" s="11" t="s">
        <v>17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44">
        <f>SUMIF(G17:O17,"Efectivo",G16:O16)</f>
        <v>0</v>
      </c>
      <c r="Q16" s="15">
        <f>SUMIF(G17:O17,"Mercado Pago",G16:O16)</f>
        <v>0</v>
      </c>
      <c r="R16" s="36"/>
    </row>
    <row r="17">
      <c r="A17" s="56"/>
      <c r="B17" s="18" t="s">
        <v>18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39"/>
      <c r="R17" s="36"/>
    </row>
    <row r="18">
      <c r="A18" s="57"/>
      <c r="B18" s="23" t="s">
        <v>19</v>
      </c>
      <c r="C18" s="58"/>
      <c r="D18" s="58"/>
      <c r="E18" s="58"/>
      <c r="F18" s="58"/>
      <c r="G18" s="58"/>
      <c r="H18" s="58"/>
      <c r="I18" s="58"/>
      <c r="J18" s="59"/>
      <c r="K18" s="60"/>
      <c r="L18" s="60"/>
      <c r="M18" s="60"/>
      <c r="N18" s="60"/>
      <c r="O18" s="60"/>
      <c r="P18" s="43"/>
      <c r="Q18" s="22"/>
      <c r="R18" s="36"/>
    </row>
    <row r="19">
      <c r="A19" s="61"/>
      <c r="B19" s="31" t="s">
        <v>17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44">
        <f>SUMIF(G20:O20,"Efectivo",G19:O19)</f>
        <v>0</v>
      </c>
      <c r="Q19" s="15">
        <f>SUMIF(G20:O20,"Mercado Pago",G19:O19)</f>
        <v>0</v>
      </c>
      <c r="R19" s="36"/>
    </row>
    <row r="20">
      <c r="B20" s="37" t="s">
        <v>18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R20" s="36"/>
    </row>
    <row r="21">
      <c r="A21" s="22"/>
      <c r="B21" s="40" t="s">
        <v>19</v>
      </c>
      <c r="C21" s="51"/>
      <c r="D21" s="51"/>
      <c r="E21" s="51"/>
      <c r="F21" s="51"/>
      <c r="G21" s="51"/>
      <c r="H21" s="41"/>
      <c r="I21" s="41"/>
      <c r="J21" s="41"/>
      <c r="K21" s="41"/>
      <c r="L21" s="41"/>
      <c r="M21" s="62"/>
      <c r="N21" s="42"/>
      <c r="O21" s="42"/>
      <c r="P21" s="43"/>
      <c r="Q21" s="22"/>
      <c r="R21" s="36"/>
    </row>
    <row r="22">
      <c r="A22" s="63"/>
      <c r="B22" s="11" t="s">
        <v>17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44">
        <f>SUMIF(G23:O23,"Efectivo",G22:O22)</f>
        <v>0</v>
      </c>
      <c r="Q22" s="15">
        <f>SUMIF(G23:O23,"Mercado Pago",G22:O22)</f>
        <v>0</v>
      </c>
      <c r="R22" s="36"/>
    </row>
    <row r="23">
      <c r="B23" s="18" t="s">
        <v>18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39"/>
      <c r="R23" s="36"/>
    </row>
    <row r="24">
      <c r="A24" s="22"/>
      <c r="B24" s="23" t="s">
        <v>19</v>
      </c>
      <c r="C24" s="45"/>
      <c r="D24" s="45"/>
      <c r="E24" s="45"/>
      <c r="F24" s="45"/>
      <c r="G24" s="26"/>
      <c r="H24" s="26"/>
      <c r="I24" s="26"/>
      <c r="J24" s="26"/>
      <c r="K24" s="26"/>
      <c r="L24" s="26"/>
      <c r="M24" s="27"/>
      <c r="N24" s="27"/>
      <c r="O24" s="27"/>
      <c r="P24" s="43"/>
      <c r="Q24" s="22"/>
      <c r="R24" s="36"/>
    </row>
    <row r="25">
      <c r="A25" s="64"/>
      <c r="B25" s="31" t="s">
        <v>17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44">
        <f>SUMIF(G26:O26,"Efectivo",G25:O25)</f>
        <v>0</v>
      </c>
      <c r="Q25" s="15">
        <f>SUMIF(G26:O26,"Mercado Pago",G25:O25)</f>
        <v>0</v>
      </c>
      <c r="R25" s="65" t="s">
        <v>43</v>
      </c>
    </row>
    <row r="26">
      <c r="B26" s="37" t="s">
        <v>18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  <c r="R26" s="36"/>
    </row>
    <row r="27">
      <c r="A27" s="22"/>
      <c r="B27" s="40" t="s">
        <v>19</v>
      </c>
      <c r="C27" s="49"/>
      <c r="D27" s="49"/>
      <c r="E27" s="49"/>
      <c r="F27" s="49"/>
      <c r="G27" s="49"/>
      <c r="H27" s="52"/>
      <c r="I27" s="52"/>
      <c r="J27" s="66"/>
      <c r="K27" s="66"/>
      <c r="L27" s="66"/>
      <c r="M27" s="66"/>
      <c r="N27" s="66"/>
      <c r="O27" s="66"/>
      <c r="P27" s="43"/>
      <c r="Q27" s="22"/>
      <c r="R27" s="36"/>
    </row>
    <row r="28">
      <c r="A28" s="63"/>
      <c r="B28" s="11" t="s">
        <v>17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44">
        <f>SUMIF(G29:O29,"Efectivo",G28:O28)</f>
        <v>0</v>
      </c>
      <c r="Q28" s="15">
        <f>SUMIF(G29:O29,"Mercado Pago",G28:O28)</f>
        <v>0</v>
      </c>
      <c r="R28" s="36"/>
    </row>
    <row r="29">
      <c r="B29" s="18" t="s">
        <v>18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39"/>
      <c r="R29" s="36"/>
    </row>
    <row r="30">
      <c r="A30" s="22"/>
      <c r="B30" s="23" t="s">
        <v>19</v>
      </c>
      <c r="C30" s="45"/>
      <c r="D30" s="45"/>
      <c r="E30" s="45"/>
      <c r="F30" s="45"/>
      <c r="G30" s="45"/>
      <c r="H30" s="25"/>
      <c r="I30" s="25"/>
      <c r="J30" s="25"/>
      <c r="K30" s="25"/>
      <c r="L30" s="25"/>
      <c r="M30" s="25"/>
      <c r="N30" s="25"/>
      <c r="O30" s="25"/>
      <c r="P30" s="43"/>
      <c r="Q30" s="22"/>
      <c r="R30" s="36"/>
    </row>
    <row r="31">
      <c r="A31" s="63"/>
      <c r="B31" s="11" t="s">
        <v>17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44">
        <f>SUMIF(G32:O32,"Efectivo",G31:O31)</f>
        <v>0</v>
      </c>
      <c r="Q31" s="15">
        <f>SUMIF(G32:O32,"Mercado Pago",G31:O31)</f>
        <v>0</v>
      </c>
      <c r="R31" s="36"/>
    </row>
    <row r="32">
      <c r="B32" s="18" t="s">
        <v>18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39"/>
      <c r="R32" s="36"/>
    </row>
    <row r="33">
      <c r="A33" s="22"/>
      <c r="B33" s="23" t="s">
        <v>19</v>
      </c>
      <c r="C33" s="45"/>
      <c r="D33" s="45"/>
      <c r="E33" s="45"/>
      <c r="F33" s="45"/>
      <c r="G33" s="45"/>
      <c r="H33" s="25"/>
      <c r="I33" s="25"/>
      <c r="J33" s="25"/>
      <c r="K33" s="25"/>
      <c r="L33" s="25"/>
      <c r="M33" s="25"/>
      <c r="N33" s="25"/>
      <c r="O33" s="25"/>
      <c r="P33" s="43"/>
      <c r="Q33" s="22"/>
      <c r="R33" s="36"/>
    </row>
    <row r="34">
      <c r="A34" s="63"/>
      <c r="B34" s="11" t="s">
        <v>17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44">
        <f>SUMIF(G35:O35,"Efectivo",G34:O34)</f>
        <v>0</v>
      </c>
      <c r="Q34" s="15">
        <f>SUMIF(G35:O35,"Mercado Pago",G34:O34)</f>
        <v>0</v>
      </c>
    </row>
    <row r="35">
      <c r="B35" s="18" t="s">
        <v>18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39"/>
    </row>
    <row r="36">
      <c r="A36" s="22"/>
      <c r="B36" s="23" t="s">
        <v>19</v>
      </c>
      <c r="C36" s="45"/>
      <c r="D36" s="45"/>
      <c r="E36" s="45"/>
      <c r="F36" s="45"/>
      <c r="G36" s="45"/>
      <c r="H36" s="25"/>
      <c r="I36" s="25"/>
      <c r="J36" s="25"/>
      <c r="K36" s="25"/>
      <c r="L36" s="25"/>
      <c r="M36" s="25"/>
      <c r="N36" s="25"/>
      <c r="O36" s="25"/>
      <c r="P36" s="43"/>
      <c r="Q36" s="22"/>
    </row>
    <row r="37">
      <c r="A37" s="63"/>
      <c r="B37" s="11" t="s">
        <v>17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44">
        <f>SUMIF(G38:O38,"Efectivo",G37:O37)</f>
        <v>0</v>
      </c>
      <c r="Q37" s="15">
        <f>SUMIF(G38:O38,"Mercado Pago",G37:O37)</f>
        <v>0</v>
      </c>
    </row>
    <row r="38">
      <c r="B38" s="18" t="s">
        <v>18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39"/>
    </row>
    <row r="39">
      <c r="A39" s="22"/>
      <c r="B39" s="23" t="s">
        <v>19</v>
      </c>
      <c r="C39" s="45"/>
      <c r="D39" s="45"/>
      <c r="E39" s="45"/>
      <c r="F39" s="45"/>
      <c r="G39" s="45"/>
      <c r="H39" s="25"/>
      <c r="I39" s="25"/>
      <c r="J39" s="25"/>
      <c r="K39" s="25"/>
      <c r="L39" s="25"/>
      <c r="M39" s="25"/>
      <c r="N39" s="25"/>
      <c r="O39" s="25"/>
      <c r="P39" s="43"/>
      <c r="Q39" s="22"/>
    </row>
    <row r="40">
      <c r="A40" s="63"/>
      <c r="B40" s="11" t="s">
        <v>17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4">
        <f>SUMIF(G41:O41,"Efectivo",G40:O40)</f>
        <v>0</v>
      </c>
      <c r="Q40" s="15">
        <f>SUMIF(G41:O41,"Mercado Pago",G40:O40)</f>
        <v>0</v>
      </c>
    </row>
    <row r="41">
      <c r="B41" s="18" t="s">
        <v>18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9"/>
    </row>
    <row r="42">
      <c r="A42" s="22"/>
      <c r="B42" s="23" t="s">
        <v>19</v>
      </c>
      <c r="C42" s="45"/>
      <c r="D42" s="45"/>
      <c r="E42" s="45"/>
      <c r="F42" s="45"/>
      <c r="G42" s="45"/>
      <c r="H42" s="25"/>
      <c r="I42" s="25"/>
      <c r="J42" s="25"/>
      <c r="K42" s="25"/>
      <c r="L42" s="25"/>
      <c r="M42" s="25"/>
      <c r="N42" s="25"/>
      <c r="O42" s="25"/>
      <c r="P42" s="43"/>
      <c r="Q42" s="22"/>
    </row>
    <row r="43">
      <c r="A43" s="67"/>
      <c r="B43" s="68"/>
      <c r="C43" s="68"/>
      <c r="D43" s="68"/>
      <c r="E43" s="68"/>
      <c r="F43" s="68"/>
      <c r="G43" s="68"/>
      <c r="H43" s="68"/>
      <c r="I43" s="68"/>
      <c r="J43" s="68"/>
    </row>
  </sheetData>
  <mergeCells count="37">
    <mergeCell ref="P4:P6"/>
    <mergeCell ref="Q4:Q6"/>
    <mergeCell ref="A7:A9"/>
    <mergeCell ref="P7:P9"/>
    <mergeCell ref="Q7:Q9"/>
    <mergeCell ref="P10:P12"/>
    <mergeCell ref="Q10:Q12"/>
    <mergeCell ref="P22:P24"/>
    <mergeCell ref="P25:P27"/>
    <mergeCell ref="P28:P30"/>
    <mergeCell ref="P31:P33"/>
    <mergeCell ref="P34:P36"/>
    <mergeCell ref="P37:P39"/>
    <mergeCell ref="P40:P42"/>
    <mergeCell ref="Q25:Q27"/>
    <mergeCell ref="Q28:Q30"/>
    <mergeCell ref="Q31:Q33"/>
    <mergeCell ref="Q34:Q36"/>
    <mergeCell ref="Q37:Q39"/>
    <mergeCell ref="Q40:Q42"/>
    <mergeCell ref="P13:P15"/>
    <mergeCell ref="Q13:Q15"/>
    <mergeCell ref="P16:P18"/>
    <mergeCell ref="Q16:Q18"/>
    <mergeCell ref="P19:P21"/>
    <mergeCell ref="Q19:Q21"/>
    <mergeCell ref="Q22:Q24"/>
    <mergeCell ref="A34:A36"/>
    <mergeCell ref="A37:A39"/>
    <mergeCell ref="A40:A42"/>
    <mergeCell ref="A10:A12"/>
    <mergeCell ref="A13:A15"/>
    <mergeCell ref="A19:A21"/>
    <mergeCell ref="A22:A24"/>
    <mergeCell ref="A25:A27"/>
    <mergeCell ref="A28:A30"/>
    <mergeCell ref="A31:A33"/>
  </mergeCells>
  <dataValidations>
    <dataValidation type="list" allowBlank="1" showErrorMessage="1" sqref="C5:O5 C8:O8 C11:O11 C14:O14 C17:O17 C20:O20 C23:O23 C26:O26 C29:O29 C32:O32 C35:O35 C38:O38 C41:O41">
      <formula1>"Efectivo,Mercado Pago"</formula1>
    </dataValidation>
    <dataValidation type="custom" allowBlank="1" showDropDown="1" sqref="C3:O3 C6:O6 C9:O9 C12:O12 C15:O15 C18:O18 C21:O21 C24:O24 C27:O27 C30:O30 C33:O33 C36:O36 C39:O39 C42:O42">
      <formula1>OR(NOT(ISERROR(DATEVALUE(C3))), AND(ISNUMBER(C3), LEFT(CELL("format", C3))="D"))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30.33"/>
    <col customWidth="1" min="2" max="8" width="13.44"/>
    <col customWidth="1" min="17" max="17" width="16.44"/>
    <col customWidth="1" min="18" max="18" width="18.89"/>
  </cols>
  <sheetData>
    <row r="1" ht="37.5" customHeight="1">
      <c r="A1" s="1" t="s">
        <v>0</v>
      </c>
      <c r="B1" s="2"/>
      <c r="C1" s="3" t="s">
        <v>1</v>
      </c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3" t="s">
        <v>14</v>
      </c>
      <c r="R1" s="9" t="s">
        <v>15</v>
      </c>
    </row>
    <row r="2" ht="18.75" customHeight="1">
      <c r="A2" s="84" t="s">
        <v>16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0</v>
      </c>
      <c r="R2" s="17">
        <f t="shared" si="1"/>
        <v>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19</v>
      </c>
      <c r="C4" s="24"/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85" t="s">
        <v>20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19</v>
      </c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3"/>
      <c r="P7" s="22"/>
      <c r="Q7" s="36"/>
      <c r="R7" s="36"/>
    </row>
    <row r="8" ht="18.75" customHeight="1">
      <c r="A8" s="84" t="s">
        <v>21</v>
      </c>
      <c r="B8" s="11" t="s">
        <v>17</v>
      </c>
      <c r="C8" s="12">
        <v>35000.0</v>
      </c>
      <c r="D8" s="12">
        <v>35000.0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 t="s">
        <v>35</v>
      </c>
      <c r="D9" s="19" t="s">
        <v>35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19</v>
      </c>
      <c r="C10" s="45">
        <v>45979.0</v>
      </c>
      <c r="D10" s="45">
        <v>46078.0</v>
      </c>
      <c r="E10" s="45"/>
      <c r="F10" s="46"/>
      <c r="G10" s="47"/>
      <c r="H10" s="27"/>
      <c r="I10" s="27"/>
      <c r="J10" s="27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85" t="s">
        <v>22</v>
      </c>
      <c r="B11" s="31" t="s">
        <v>17</v>
      </c>
      <c r="C11" s="32"/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19</v>
      </c>
      <c r="C13" s="49"/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84" t="s">
        <v>23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19</v>
      </c>
      <c r="C16" s="45"/>
      <c r="D16" s="45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85" t="s">
        <v>24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19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84" t="s">
        <v>25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85" t="s">
        <v>27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19</v>
      </c>
      <c r="C25" s="49"/>
      <c r="D25" s="49"/>
      <c r="E25" s="49"/>
      <c r="F25" s="51"/>
      <c r="G25" s="42"/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84" t="s">
        <v>28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19</v>
      </c>
      <c r="C28" s="25"/>
      <c r="D28" s="25"/>
      <c r="E28" s="25"/>
      <c r="F28" s="86"/>
      <c r="G28" s="26"/>
      <c r="H28" s="27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85" t="s">
        <v>29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19</v>
      </c>
      <c r="C31" s="49"/>
      <c r="D31" s="49"/>
      <c r="E31" s="49"/>
      <c r="F31" s="49"/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84" t="s">
        <v>30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4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43"/>
      <c r="P34" s="22"/>
      <c r="Q34" s="36"/>
      <c r="R34" s="36"/>
    </row>
    <row r="35" ht="18.75" customHeight="1">
      <c r="A35" s="85" t="s">
        <v>31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51"/>
      <c r="D37" s="51"/>
      <c r="E37" s="51"/>
      <c r="F37" s="51"/>
      <c r="G37" s="42"/>
      <c r="H37" s="42"/>
      <c r="I37" s="42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10" t="s">
        <v>50</v>
      </c>
      <c r="B38" s="11" t="s">
        <v>17</v>
      </c>
      <c r="C38" s="12">
        <v>60000.0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 t="s">
        <v>35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>
        <v>45979.0</v>
      </c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85" t="s">
        <v>33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87" t="s">
        <v>50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/>
      <c r="D46" s="45"/>
      <c r="E46" s="45"/>
      <c r="F46" s="45"/>
      <c r="G46" s="25"/>
      <c r="H46" s="45"/>
      <c r="I46" s="45"/>
      <c r="J46" s="54"/>
      <c r="K46" s="54"/>
      <c r="L46" s="54"/>
      <c r="M46" s="54"/>
      <c r="N46" s="54"/>
      <c r="O46" s="43"/>
      <c r="P46" s="22"/>
      <c r="Q46" s="36"/>
      <c r="R46" s="36"/>
    </row>
    <row r="47" ht="18.75" customHeight="1">
      <c r="A47" s="85" t="s">
        <v>36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84" t="s">
        <v>37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/>
      <c r="D52" s="25"/>
      <c r="E52" s="25"/>
      <c r="F52" s="27"/>
      <c r="G52" s="27"/>
      <c r="H52" s="27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88" t="s">
        <v>38</v>
      </c>
      <c r="B53" s="31" t="s">
        <v>17</v>
      </c>
      <c r="C53" s="32">
        <v>35000.0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 t="s">
        <v>26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>
        <v>46057.0</v>
      </c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63" t="s">
        <v>51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19</v>
      </c>
      <c r="C58" s="58"/>
      <c r="D58" s="58"/>
      <c r="E58" s="58"/>
      <c r="F58" s="58"/>
      <c r="G58" s="58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61" t="s">
        <v>52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19</v>
      </c>
      <c r="C61" s="51"/>
      <c r="D61" s="51"/>
      <c r="E61" s="51"/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63" t="s">
        <v>53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19</v>
      </c>
      <c r="C64" s="45"/>
      <c r="D64" s="45"/>
      <c r="E64" s="45"/>
      <c r="F64" s="27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61" t="s">
        <v>54</v>
      </c>
      <c r="B65" s="31" t="s">
        <v>17</v>
      </c>
      <c r="C65" s="32"/>
      <c r="D65" s="32">
        <v>60000.0</v>
      </c>
      <c r="E65" s="32">
        <v>35000.0</v>
      </c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 t="s">
        <v>35</v>
      </c>
      <c r="E66" s="38" t="s">
        <v>26</v>
      </c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19</v>
      </c>
      <c r="C67" s="49"/>
      <c r="D67" s="49">
        <v>46072.0</v>
      </c>
      <c r="E67" s="49">
        <v>46119.0</v>
      </c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89"/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67"/>
      <c r="B71" s="68"/>
      <c r="C71" s="68"/>
      <c r="D71" s="68"/>
      <c r="E71" s="68"/>
      <c r="F71" s="68"/>
      <c r="G71" s="68"/>
      <c r="H71" s="68"/>
      <c r="I71" s="68"/>
    </row>
    <row r="72">
      <c r="A72" s="67"/>
      <c r="B72" s="68"/>
      <c r="C72" s="68"/>
      <c r="D72" s="68"/>
      <c r="E72" s="68"/>
      <c r="F72" s="68"/>
      <c r="G72" s="68"/>
      <c r="H72" s="68"/>
      <c r="I72" s="68"/>
    </row>
    <row r="73">
      <c r="A73" s="67"/>
      <c r="B73" s="68"/>
      <c r="C73" s="68"/>
      <c r="D73" s="68"/>
      <c r="E73" s="68"/>
      <c r="F73" s="68"/>
      <c r="G73" s="68"/>
      <c r="H73" s="68"/>
      <c r="I73" s="68"/>
    </row>
    <row r="74">
      <c r="A74" s="67"/>
      <c r="B74" s="68"/>
      <c r="C74" s="68"/>
      <c r="D74" s="68"/>
      <c r="E74" s="68"/>
      <c r="F74" s="68"/>
      <c r="G74" s="68"/>
      <c r="H74" s="68"/>
      <c r="I74" s="68"/>
    </row>
    <row r="75">
      <c r="A75" s="67"/>
      <c r="B75" s="68"/>
      <c r="C75" s="68"/>
      <c r="D75" s="68"/>
      <c r="E75" s="68"/>
      <c r="F75" s="68"/>
      <c r="G75" s="68"/>
      <c r="H75" s="68"/>
      <c r="I75" s="68"/>
    </row>
    <row r="76">
      <c r="A76" s="67"/>
      <c r="B76" s="68"/>
      <c r="C76" s="68"/>
      <c r="D76" s="68"/>
      <c r="E76" s="68"/>
      <c r="F76" s="68"/>
      <c r="G76" s="68"/>
      <c r="H76" s="68"/>
      <c r="I76" s="68"/>
    </row>
    <row r="77">
      <c r="A77" s="67"/>
      <c r="B77" s="68"/>
      <c r="C77" s="68"/>
      <c r="D77" s="68"/>
      <c r="E77" s="68"/>
      <c r="F77" s="68"/>
      <c r="G77" s="68"/>
      <c r="H77" s="68"/>
      <c r="I77" s="68"/>
    </row>
    <row r="78">
      <c r="A78" s="67"/>
      <c r="B78" s="68"/>
      <c r="C78" s="68"/>
      <c r="D78" s="68"/>
      <c r="E78" s="68"/>
      <c r="F78" s="68"/>
      <c r="G78" s="68"/>
      <c r="H78" s="68"/>
      <c r="I78" s="68"/>
    </row>
    <row r="79">
      <c r="A79" s="67"/>
      <c r="B79" s="68"/>
      <c r="C79" s="68"/>
      <c r="D79" s="68"/>
      <c r="E79" s="68"/>
      <c r="F79" s="68"/>
      <c r="G79" s="68"/>
      <c r="H79" s="68"/>
      <c r="I79" s="68"/>
    </row>
    <row r="80">
      <c r="A80" s="67"/>
      <c r="B80" s="68"/>
      <c r="C80" s="68"/>
      <c r="D80" s="68"/>
      <c r="E80" s="68"/>
      <c r="F80" s="68"/>
      <c r="G80" s="68"/>
      <c r="H80" s="68"/>
      <c r="I80" s="68"/>
    </row>
    <row r="81">
      <c r="A81" s="67"/>
      <c r="B81" s="68"/>
      <c r="C81" s="68"/>
      <c r="D81" s="68"/>
      <c r="E81" s="68"/>
      <c r="F81" s="68"/>
      <c r="G81" s="68"/>
      <c r="H81" s="68"/>
      <c r="I81" s="68"/>
    </row>
    <row r="82">
      <c r="A82" s="67"/>
      <c r="B82" s="68"/>
      <c r="C82" s="68"/>
      <c r="D82" s="68"/>
      <c r="E82" s="68"/>
      <c r="F82" s="68"/>
      <c r="G82" s="68"/>
      <c r="H82" s="68"/>
      <c r="I82" s="68"/>
    </row>
    <row r="83">
      <c r="A83" s="67"/>
      <c r="B83" s="68"/>
      <c r="C83" s="68"/>
      <c r="D83" s="68"/>
      <c r="E83" s="68"/>
      <c r="F83" s="68"/>
      <c r="G83" s="68"/>
      <c r="H83" s="68"/>
      <c r="I83" s="68"/>
    </row>
    <row r="84">
      <c r="A84" s="67"/>
      <c r="B84" s="68"/>
      <c r="C84" s="68"/>
      <c r="D84" s="68"/>
      <c r="E84" s="68"/>
      <c r="F84" s="68"/>
      <c r="G84" s="68"/>
      <c r="H84" s="68"/>
      <c r="I84" s="68"/>
    </row>
    <row r="85">
      <c r="A85" s="67"/>
      <c r="B85" s="68"/>
      <c r="C85" s="68"/>
      <c r="D85" s="68"/>
      <c r="E85" s="68"/>
      <c r="F85" s="68"/>
      <c r="G85" s="68"/>
      <c r="H85" s="68"/>
      <c r="I85" s="68"/>
    </row>
    <row r="86">
      <c r="A86" s="67"/>
      <c r="B86" s="68"/>
      <c r="C86" s="68"/>
      <c r="D86" s="68"/>
      <c r="E86" s="68"/>
      <c r="F86" s="68"/>
      <c r="G86" s="68"/>
      <c r="H86" s="68"/>
      <c r="I86" s="68"/>
    </row>
    <row r="87">
      <c r="A87" s="67"/>
      <c r="B87" s="68"/>
      <c r="C87" s="68"/>
      <c r="D87" s="68"/>
      <c r="E87" s="68"/>
      <c r="F87" s="68"/>
      <c r="G87" s="68"/>
      <c r="H87" s="68"/>
      <c r="I87" s="68"/>
    </row>
    <row r="88">
      <c r="A88" s="67"/>
      <c r="B88" s="68"/>
      <c r="C88" s="68"/>
      <c r="D88" s="68"/>
      <c r="E88" s="68"/>
      <c r="F88" s="68"/>
      <c r="G88" s="68"/>
      <c r="H88" s="68"/>
      <c r="I88" s="68"/>
    </row>
    <row r="89">
      <c r="A89" s="67"/>
      <c r="B89" s="68"/>
      <c r="C89" s="68"/>
      <c r="D89" s="68"/>
      <c r="E89" s="68"/>
      <c r="F89" s="68"/>
      <c r="G89" s="68"/>
      <c r="H89" s="68"/>
      <c r="I89" s="68"/>
    </row>
    <row r="90">
      <c r="A90" s="67"/>
      <c r="B90" s="68"/>
      <c r="C90" s="68"/>
      <c r="D90" s="68"/>
      <c r="E90" s="68"/>
      <c r="F90" s="68"/>
      <c r="G90" s="68"/>
      <c r="H90" s="68"/>
      <c r="I90" s="68"/>
    </row>
    <row r="91">
      <c r="A91" s="67"/>
      <c r="B91" s="68"/>
      <c r="C91" s="68"/>
      <c r="D91" s="68"/>
      <c r="E91" s="68"/>
      <c r="F91" s="68"/>
      <c r="G91" s="68"/>
      <c r="H91" s="68"/>
      <c r="I91" s="68"/>
    </row>
    <row r="92">
      <c r="A92" s="67"/>
      <c r="B92" s="68"/>
      <c r="C92" s="68"/>
      <c r="D92" s="68"/>
      <c r="E92" s="68"/>
      <c r="F92" s="68"/>
      <c r="G92" s="68"/>
      <c r="H92" s="68"/>
      <c r="I92" s="68"/>
    </row>
    <row r="93">
      <c r="A93" s="67"/>
      <c r="B93" s="68"/>
      <c r="C93" s="68"/>
      <c r="D93" s="68"/>
      <c r="E93" s="68"/>
      <c r="F93" s="68"/>
      <c r="G93" s="68"/>
      <c r="H93" s="68"/>
      <c r="I93" s="68"/>
    </row>
    <row r="94">
      <c r="A94" s="67"/>
      <c r="B94" s="68"/>
      <c r="C94" s="68"/>
      <c r="D94" s="68"/>
      <c r="E94" s="68"/>
      <c r="F94" s="68"/>
      <c r="G94" s="68"/>
      <c r="H94" s="68"/>
      <c r="I94" s="68"/>
    </row>
    <row r="95">
      <c r="A95" s="67"/>
      <c r="B95" s="68"/>
      <c r="C95" s="68"/>
      <c r="D95" s="68"/>
      <c r="E95" s="68"/>
      <c r="F95" s="68"/>
      <c r="G95" s="68"/>
      <c r="H95" s="68"/>
      <c r="I95" s="68"/>
    </row>
    <row r="96">
      <c r="A96" s="67"/>
      <c r="B96" s="68"/>
      <c r="C96" s="68"/>
      <c r="D96" s="68"/>
      <c r="E96" s="68"/>
      <c r="F96" s="68"/>
      <c r="G96" s="68"/>
      <c r="H96" s="68"/>
      <c r="I96" s="68"/>
    </row>
    <row r="97">
      <c r="A97" s="67"/>
      <c r="B97" s="68"/>
      <c r="C97" s="68"/>
      <c r="D97" s="68"/>
      <c r="E97" s="68"/>
      <c r="F97" s="68"/>
      <c r="G97" s="68"/>
      <c r="H97" s="68"/>
      <c r="I97" s="68"/>
    </row>
    <row r="98">
      <c r="A98" s="67"/>
      <c r="B98" s="68"/>
      <c r="C98" s="68"/>
      <c r="D98" s="68"/>
      <c r="E98" s="68"/>
      <c r="F98" s="68"/>
      <c r="G98" s="68"/>
      <c r="H98" s="68"/>
      <c r="I98" s="68"/>
    </row>
    <row r="99">
      <c r="A99" s="67"/>
      <c r="B99" s="68"/>
      <c r="C99" s="68"/>
      <c r="D99" s="68"/>
      <c r="E99" s="68"/>
      <c r="F99" s="68"/>
      <c r="G99" s="68"/>
      <c r="H99" s="68"/>
      <c r="I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62:P64"/>
    <mergeCell ref="P65:P67"/>
    <mergeCell ref="O68:O70"/>
    <mergeCell ref="P68:P70"/>
    <mergeCell ref="P41:P43"/>
    <mergeCell ref="P44:P46"/>
    <mergeCell ref="P47:P49"/>
    <mergeCell ref="P50:P52"/>
    <mergeCell ref="P53:P55"/>
    <mergeCell ref="P56:P58"/>
    <mergeCell ref="P59:P61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 C66:N66 C69:N69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1" t="s">
        <v>0</v>
      </c>
      <c r="B1" s="2"/>
      <c r="C1" s="3" t="s">
        <v>1</v>
      </c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3" t="s">
        <v>14</v>
      </c>
      <c r="R1" s="9" t="s">
        <v>15</v>
      </c>
    </row>
    <row r="2" ht="18.75" customHeight="1">
      <c r="A2" s="84" t="s">
        <v>55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3500</v>
      </c>
      <c r="R2" s="17">
        <f t="shared" si="1"/>
        <v>35000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19</v>
      </c>
      <c r="C4" s="24"/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85" t="s">
        <v>56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19</v>
      </c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3"/>
      <c r="P7" s="22"/>
      <c r="Q7" s="36"/>
      <c r="R7" s="36"/>
    </row>
    <row r="8" ht="18.75" customHeight="1">
      <c r="A8" s="84" t="s">
        <v>57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19</v>
      </c>
      <c r="C10" s="45"/>
      <c r="D10" s="45"/>
      <c r="E10" s="45"/>
      <c r="F10" s="46"/>
      <c r="G10" s="47"/>
      <c r="H10" s="27"/>
      <c r="I10" s="27"/>
      <c r="J10" s="27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85" t="s">
        <v>58</v>
      </c>
      <c r="B11" s="31" t="s">
        <v>17</v>
      </c>
      <c r="C11" s="32"/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19</v>
      </c>
      <c r="C13" s="49"/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84" t="s">
        <v>59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19</v>
      </c>
      <c r="C16" s="25"/>
      <c r="D16" s="25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84" t="s">
        <v>60</v>
      </c>
      <c r="B17" s="31" t="s">
        <v>17</v>
      </c>
      <c r="C17" s="32"/>
      <c r="D17" s="32"/>
      <c r="E17" s="32">
        <v>35000.0</v>
      </c>
      <c r="F17" s="32">
        <v>3500.0</v>
      </c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3500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/>
      <c r="D18" s="38"/>
      <c r="E18" s="38" t="s">
        <v>26</v>
      </c>
      <c r="F18" s="38" t="s">
        <v>26</v>
      </c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19</v>
      </c>
      <c r="C19" s="62"/>
      <c r="D19" s="62"/>
      <c r="E19" s="41">
        <v>46132.0</v>
      </c>
      <c r="F19" s="41">
        <v>46132.0</v>
      </c>
      <c r="G19" s="41"/>
      <c r="H19" s="42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85" t="s">
        <v>61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84" t="s">
        <v>62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19</v>
      </c>
      <c r="C25" s="49"/>
      <c r="D25" s="49"/>
      <c r="E25" s="49"/>
      <c r="F25" s="51"/>
      <c r="G25" s="42"/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84" t="s">
        <v>63</v>
      </c>
      <c r="B26" s="11" t="s">
        <v>17</v>
      </c>
      <c r="C26" s="12">
        <v>60000.0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 t="s">
        <v>26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19</v>
      </c>
      <c r="C28" s="25">
        <v>45986.0</v>
      </c>
      <c r="D28" s="25"/>
      <c r="E28" s="25"/>
      <c r="F28" s="27"/>
      <c r="G28" s="27"/>
      <c r="H28" s="27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85" t="s">
        <v>64</v>
      </c>
      <c r="B29" s="31" t="s">
        <v>17</v>
      </c>
      <c r="C29" s="32">
        <v>60000.0</v>
      </c>
      <c r="D29" s="32"/>
      <c r="E29" s="32">
        <v>35000.0</v>
      </c>
      <c r="F29" s="32">
        <v>35000.0</v>
      </c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35000</v>
      </c>
      <c r="Q29" s="36"/>
      <c r="R29" s="36"/>
    </row>
    <row r="30" ht="18.75" customHeight="1">
      <c r="B30" s="37" t="s">
        <v>18</v>
      </c>
      <c r="C30" s="38" t="s">
        <v>35</v>
      </c>
      <c r="D30" s="38"/>
      <c r="E30" s="38" t="s">
        <v>35</v>
      </c>
      <c r="F30" s="38" t="s">
        <v>35</v>
      </c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19</v>
      </c>
      <c r="C31" s="49">
        <v>46062.0</v>
      </c>
      <c r="D31" s="49"/>
      <c r="E31" s="49">
        <v>46147.0</v>
      </c>
      <c r="F31" s="49">
        <v>46147.0</v>
      </c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84" t="s">
        <v>65</v>
      </c>
      <c r="B32" s="11" t="s">
        <v>17</v>
      </c>
      <c r="C32" s="12">
        <v>60000.0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4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86">
        <v>45979.0</v>
      </c>
      <c r="D34" s="86"/>
      <c r="E34" s="26"/>
      <c r="F34" s="26"/>
      <c r="G34" s="26"/>
      <c r="H34" s="26"/>
      <c r="I34" s="27"/>
      <c r="J34" s="27"/>
      <c r="K34" s="27"/>
      <c r="L34" s="27"/>
      <c r="M34" s="27"/>
      <c r="N34" s="27"/>
      <c r="O34" s="43"/>
      <c r="P34" s="22"/>
      <c r="Q34" s="36"/>
      <c r="R34" s="36"/>
    </row>
    <row r="35" ht="18.75" customHeight="1">
      <c r="A35" s="85" t="s">
        <v>66</v>
      </c>
      <c r="B35" s="31" t="s">
        <v>17</v>
      </c>
      <c r="C35" s="12">
        <v>60000.0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19" t="s">
        <v>26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45">
        <v>46077.0</v>
      </c>
      <c r="D37" s="51"/>
      <c r="E37" s="51"/>
      <c r="F37" s="51"/>
      <c r="G37" s="42"/>
      <c r="H37" s="42"/>
      <c r="I37" s="42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84" t="s">
        <v>67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85" t="s">
        <v>68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87" t="s">
        <v>69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/>
      <c r="D46" s="45"/>
      <c r="E46" s="45"/>
      <c r="F46" s="45"/>
      <c r="G46" s="25"/>
      <c r="H46" s="54"/>
      <c r="I46" s="54"/>
      <c r="J46" s="54"/>
      <c r="K46" s="54"/>
      <c r="L46" s="54"/>
      <c r="M46" s="54"/>
      <c r="N46" s="54"/>
      <c r="O46" s="43"/>
      <c r="P46" s="22"/>
      <c r="Q46" s="36"/>
      <c r="R46" s="36"/>
    </row>
    <row r="47" ht="18.75" customHeight="1">
      <c r="A47" s="90" t="s">
        <v>70</v>
      </c>
      <c r="B47" s="31" t="s">
        <v>17</v>
      </c>
      <c r="C47" s="32">
        <v>20000.0</v>
      </c>
      <c r="D47" s="32">
        <v>40000.0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 t="s">
        <v>26</v>
      </c>
      <c r="D48" s="38" t="s">
        <v>26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91">
        <v>45978.0</v>
      </c>
      <c r="D49" s="91">
        <v>46008.0</v>
      </c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84" t="s">
        <v>71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/>
      <c r="D52" s="25"/>
      <c r="E52" s="25"/>
      <c r="F52" s="27"/>
      <c r="G52" s="27"/>
      <c r="H52" s="27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88" t="s">
        <v>72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84" t="s">
        <v>73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19</v>
      </c>
      <c r="C58" s="58"/>
      <c r="D58" s="58"/>
      <c r="E58" s="58"/>
      <c r="F58" s="58"/>
      <c r="G58" s="60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85" t="s">
        <v>74</v>
      </c>
      <c r="B59" s="31" t="s">
        <v>17</v>
      </c>
      <c r="C59" s="32"/>
      <c r="D59" s="32"/>
      <c r="E59" s="32">
        <v>35000.0</v>
      </c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 t="s">
        <v>35</v>
      </c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19</v>
      </c>
      <c r="C61" s="51"/>
      <c r="D61" s="51"/>
      <c r="E61" s="51">
        <v>46136.0</v>
      </c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10" t="s">
        <v>75</v>
      </c>
      <c r="B62" s="11" t="s">
        <v>17</v>
      </c>
      <c r="C62" s="12">
        <v>60000.0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 t="s">
        <v>26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19</v>
      </c>
      <c r="C64" s="45">
        <v>45972.0</v>
      </c>
      <c r="D64" s="45"/>
      <c r="E64" s="45"/>
      <c r="F64" s="26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92"/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19</v>
      </c>
      <c r="C67" s="49"/>
      <c r="D67" s="49"/>
      <c r="E67" s="49"/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89"/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67"/>
      <c r="B71" s="68"/>
      <c r="C71" s="68"/>
      <c r="D71" s="68"/>
      <c r="E71" s="68"/>
      <c r="F71" s="68"/>
      <c r="G71" s="68"/>
      <c r="H71" s="68"/>
      <c r="I71" s="68"/>
    </row>
    <row r="72">
      <c r="A72" s="67"/>
      <c r="B72" s="68"/>
      <c r="C72" s="68"/>
      <c r="D72" s="68"/>
      <c r="E72" s="68"/>
      <c r="F72" s="68"/>
      <c r="G72" s="68"/>
      <c r="H72" s="68"/>
      <c r="I72" s="68"/>
    </row>
    <row r="73">
      <c r="A73" s="67"/>
      <c r="B73" s="68"/>
      <c r="C73" s="68"/>
      <c r="D73" s="68"/>
      <c r="E73" s="68"/>
      <c r="F73" s="68"/>
      <c r="G73" s="68"/>
      <c r="H73" s="68"/>
      <c r="I73" s="68"/>
    </row>
    <row r="74">
      <c r="A74" s="67"/>
      <c r="B74" s="68"/>
      <c r="C74" s="68"/>
      <c r="D74" s="68"/>
      <c r="E74" s="68"/>
      <c r="F74" s="68"/>
      <c r="G74" s="68"/>
      <c r="H74" s="68"/>
      <c r="I74" s="68"/>
    </row>
    <row r="75">
      <c r="A75" s="67"/>
      <c r="B75" s="68"/>
      <c r="C75" s="68"/>
      <c r="D75" s="68"/>
      <c r="E75" s="68"/>
      <c r="F75" s="68"/>
      <c r="G75" s="68"/>
      <c r="H75" s="68"/>
      <c r="I75" s="68"/>
    </row>
    <row r="76">
      <c r="A76" s="67"/>
      <c r="B76" s="68"/>
      <c r="C76" s="68"/>
      <c r="D76" s="68"/>
      <c r="E76" s="68"/>
      <c r="F76" s="68"/>
      <c r="G76" s="68"/>
      <c r="H76" s="68"/>
      <c r="I76" s="68"/>
    </row>
    <row r="77">
      <c r="A77" s="67"/>
      <c r="B77" s="68"/>
      <c r="C77" s="68"/>
      <c r="D77" s="68"/>
      <c r="E77" s="68"/>
      <c r="F77" s="68"/>
      <c r="G77" s="68"/>
      <c r="H77" s="68"/>
      <c r="I77" s="68"/>
    </row>
    <row r="78">
      <c r="A78" s="67"/>
      <c r="B78" s="68"/>
      <c r="C78" s="68"/>
      <c r="D78" s="68"/>
      <c r="E78" s="68"/>
      <c r="F78" s="68"/>
      <c r="G78" s="68"/>
      <c r="H78" s="68"/>
      <c r="I78" s="68"/>
    </row>
    <row r="79">
      <c r="A79" s="67"/>
      <c r="B79" s="68"/>
      <c r="C79" s="68"/>
      <c r="D79" s="68"/>
      <c r="E79" s="68"/>
      <c r="F79" s="68"/>
      <c r="G79" s="68"/>
      <c r="H79" s="68"/>
      <c r="I79" s="68"/>
    </row>
    <row r="80">
      <c r="A80" s="67"/>
      <c r="B80" s="68"/>
      <c r="C80" s="68"/>
      <c r="D80" s="68"/>
      <c r="E80" s="68"/>
      <c r="F80" s="68"/>
      <c r="G80" s="68"/>
      <c r="H80" s="68"/>
      <c r="I80" s="68"/>
    </row>
    <row r="81">
      <c r="A81" s="67"/>
      <c r="B81" s="68"/>
      <c r="C81" s="68"/>
      <c r="D81" s="68"/>
      <c r="E81" s="68"/>
      <c r="F81" s="68"/>
      <c r="G81" s="68"/>
      <c r="H81" s="68"/>
      <c r="I81" s="68"/>
    </row>
    <row r="82">
      <c r="A82" s="67"/>
      <c r="B82" s="68"/>
      <c r="C82" s="68"/>
      <c r="D82" s="68"/>
      <c r="E82" s="68"/>
      <c r="F82" s="68"/>
      <c r="G82" s="68"/>
      <c r="H82" s="68"/>
      <c r="I82" s="68"/>
    </row>
    <row r="83">
      <c r="A83" s="67"/>
      <c r="B83" s="68"/>
      <c r="C83" s="68"/>
      <c r="D83" s="68"/>
      <c r="E83" s="68"/>
      <c r="F83" s="68"/>
      <c r="G83" s="68"/>
      <c r="H83" s="68"/>
      <c r="I83" s="68"/>
    </row>
    <row r="84">
      <c r="A84" s="67"/>
      <c r="B84" s="68"/>
      <c r="C84" s="68"/>
      <c r="D84" s="68"/>
      <c r="E84" s="68"/>
      <c r="F84" s="68"/>
      <c r="G84" s="68"/>
      <c r="H84" s="68"/>
      <c r="I84" s="68"/>
    </row>
    <row r="85">
      <c r="A85" s="67"/>
      <c r="B85" s="68"/>
      <c r="C85" s="68"/>
      <c r="D85" s="68"/>
      <c r="E85" s="68"/>
      <c r="F85" s="68"/>
      <c r="G85" s="68"/>
      <c r="H85" s="68"/>
      <c r="I85" s="68"/>
    </row>
    <row r="86">
      <c r="A86" s="67"/>
      <c r="B86" s="68"/>
      <c r="C86" s="68"/>
      <c r="D86" s="68"/>
      <c r="E86" s="68"/>
      <c r="F86" s="68"/>
      <c r="G86" s="68"/>
      <c r="H86" s="68"/>
      <c r="I86" s="68"/>
    </row>
    <row r="87">
      <c r="A87" s="67"/>
      <c r="B87" s="68"/>
      <c r="C87" s="68"/>
      <c r="D87" s="68"/>
      <c r="E87" s="68"/>
      <c r="F87" s="68"/>
      <c r="G87" s="68"/>
      <c r="H87" s="68"/>
      <c r="I87" s="68"/>
    </row>
    <row r="88">
      <c r="A88" s="67"/>
      <c r="B88" s="68"/>
      <c r="C88" s="68"/>
      <c r="D88" s="68"/>
      <c r="E88" s="68"/>
      <c r="F88" s="68"/>
      <c r="G88" s="68"/>
      <c r="H88" s="68"/>
      <c r="I88" s="68"/>
    </row>
    <row r="89">
      <c r="A89" s="67"/>
      <c r="B89" s="68"/>
      <c r="C89" s="68"/>
      <c r="D89" s="68"/>
      <c r="E89" s="68"/>
      <c r="F89" s="68"/>
      <c r="G89" s="68"/>
      <c r="H89" s="68"/>
      <c r="I89" s="68"/>
    </row>
    <row r="90">
      <c r="A90" s="67"/>
      <c r="B90" s="68"/>
      <c r="C90" s="68"/>
      <c r="D90" s="68"/>
      <c r="E90" s="68"/>
      <c r="F90" s="68"/>
      <c r="G90" s="68"/>
      <c r="H90" s="68"/>
      <c r="I90" s="68"/>
    </row>
    <row r="91">
      <c r="A91" s="67"/>
      <c r="B91" s="68"/>
      <c r="C91" s="68"/>
      <c r="D91" s="68"/>
      <c r="E91" s="68"/>
      <c r="F91" s="68"/>
      <c r="G91" s="68"/>
      <c r="H91" s="68"/>
      <c r="I91" s="68"/>
    </row>
    <row r="92">
      <c r="A92" s="67"/>
      <c r="B92" s="68"/>
      <c r="C92" s="68"/>
      <c r="D92" s="68"/>
      <c r="E92" s="68"/>
      <c r="F92" s="68"/>
      <c r="G92" s="68"/>
      <c r="H92" s="68"/>
      <c r="I92" s="68"/>
    </row>
    <row r="93">
      <c r="A93" s="67"/>
      <c r="B93" s="68"/>
      <c r="C93" s="68"/>
      <c r="D93" s="68"/>
      <c r="E93" s="68"/>
      <c r="F93" s="68"/>
      <c r="G93" s="68"/>
      <c r="H93" s="68"/>
      <c r="I93" s="68"/>
    </row>
    <row r="94">
      <c r="A94" s="67"/>
      <c r="B94" s="68"/>
      <c r="C94" s="68"/>
      <c r="D94" s="68"/>
      <c r="E94" s="68"/>
      <c r="F94" s="68"/>
      <c r="G94" s="68"/>
      <c r="H94" s="68"/>
      <c r="I94" s="68"/>
    </row>
    <row r="95">
      <c r="A95" s="67"/>
      <c r="B95" s="68"/>
      <c r="C95" s="68"/>
      <c r="D95" s="68"/>
      <c r="E95" s="68"/>
      <c r="F95" s="68"/>
      <c r="G95" s="68"/>
      <c r="H95" s="68"/>
      <c r="I95" s="68"/>
    </row>
    <row r="96">
      <c r="A96" s="67"/>
      <c r="B96" s="68"/>
      <c r="C96" s="68"/>
      <c r="D96" s="68"/>
      <c r="E96" s="68"/>
      <c r="F96" s="68"/>
      <c r="G96" s="68"/>
      <c r="H96" s="68"/>
      <c r="I96" s="68"/>
    </row>
    <row r="97">
      <c r="A97" s="67"/>
      <c r="B97" s="68"/>
      <c r="C97" s="68"/>
      <c r="D97" s="68"/>
      <c r="E97" s="68"/>
      <c r="F97" s="68"/>
      <c r="G97" s="68"/>
      <c r="H97" s="68"/>
      <c r="I97" s="68"/>
    </row>
    <row r="98">
      <c r="A98" s="67"/>
      <c r="B98" s="68"/>
      <c r="C98" s="68"/>
      <c r="D98" s="68"/>
      <c r="E98" s="68"/>
      <c r="F98" s="68"/>
      <c r="G98" s="68"/>
      <c r="H98" s="68"/>
      <c r="I98" s="68"/>
    </row>
    <row r="99">
      <c r="A99" s="67"/>
      <c r="B99" s="68"/>
      <c r="C99" s="68"/>
      <c r="D99" s="68"/>
      <c r="E99" s="68"/>
      <c r="F99" s="68"/>
      <c r="G99" s="68"/>
      <c r="H99" s="68"/>
      <c r="I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62:P64"/>
    <mergeCell ref="P65:P67"/>
    <mergeCell ref="O68:O70"/>
    <mergeCell ref="P68:P70"/>
    <mergeCell ref="P41:P43"/>
    <mergeCell ref="P44:P46"/>
    <mergeCell ref="P47:P49"/>
    <mergeCell ref="P50:P52"/>
    <mergeCell ref="P53:P55"/>
    <mergeCell ref="P56:P58"/>
    <mergeCell ref="P59:P61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I33:N33 C36 I36:N36 C39:N39 C42:N42 C45:N45 C48:N48 C51:N51 C54:N54 C57:N57 C60:N60 C63:N63 C66:N66 C69:N69">
      <formula1>"Efectivo,Mercado Pago"</formula1>
    </dataValidation>
    <dataValidation type="custom" allowBlank="1" showDropDown="1" sqref="C4:N4 C7:N7 C10:N10 C13:N13 C16:N16 C19:N19 C22:N22 C25:N25 C28:N28 C31:N31 C34:N34 C37:N37 C40:N40 C43:N43 C46:N46 E49:N49 C52:N52 C55:N55 C58:N58 C61:N61 C64:N64 C67:N67 C70:N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1" t="s">
        <v>0</v>
      </c>
      <c r="B1" s="2"/>
      <c r="C1" s="3"/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3" t="s">
        <v>14</v>
      </c>
      <c r="R1" s="9" t="s">
        <v>15</v>
      </c>
    </row>
    <row r="2" ht="18.75" customHeight="1">
      <c r="A2" s="93" t="s">
        <v>76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0</v>
      </c>
      <c r="R2" s="17">
        <f t="shared" si="1"/>
        <v>0</v>
      </c>
    </row>
    <row r="3" ht="18.75" customHeight="1">
      <c r="A3" s="94"/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95"/>
      <c r="B4" s="23" t="s">
        <v>19</v>
      </c>
      <c r="C4" s="24"/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96" t="s">
        <v>77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A6" s="94"/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95"/>
      <c r="B7" s="40" t="s">
        <v>19</v>
      </c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3"/>
      <c r="P7" s="22"/>
      <c r="Q7" s="36"/>
      <c r="R7" s="36"/>
    </row>
    <row r="8" ht="18.75" customHeight="1">
      <c r="A8" s="93" t="s">
        <v>78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A9" s="94"/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95"/>
      <c r="B10" s="23" t="s">
        <v>19</v>
      </c>
      <c r="C10" s="45"/>
      <c r="D10" s="45"/>
      <c r="E10" s="45"/>
      <c r="F10" s="46"/>
      <c r="G10" s="47"/>
      <c r="H10" s="26"/>
      <c r="I10" s="26"/>
      <c r="J10" s="26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96" t="s">
        <v>79</v>
      </c>
      <c r="B11" s="31" t="s">
        <v>17</v>
      </c>
      <c r="C11" s="32">
        <v>60000.0</v>
      </c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A12" s="94"/>
      <c r="B12" s="37" t="s">
        <v>18</v>
      </c>
      <c r="C12" s="38" t="s">
        <v>26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95"/>
      <c r="B13" s="40" t="s">
        <v>19</v>
      </c>
      <c r="C13" s="49">
        <v>45981.0</v>
      </c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93" t="s">
        <v>80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A15" s="94"/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95"/>
      <c r="B16" s="23" t="s">
        <v>19</v>
      </c>
      <c r="C16" s="25"/>
      <c r="D16" s="25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96" t="s">
        <v>81</v>
      </c>
      <c r="B17" s="31" t="s">
        <v>17</v>
      </c>
      <c r="C17" s="32">
        <v>60000.0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A18" s="94"/>
      <c r="B18" s="37" t="s">
        <v>18</v>
      </c>
      <c r="C18" s="38" t="s">
        <v>26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95"/>
      <c r="B19" s="40" t="s">
        <v>19</v>
      </c>
      <c r="C19" s="41">
        <v>45986.0</v>
      </c>
      <c r="D19" s="41"/>
      <c r="E19" s="41"/>
      <c r="F19" s="41"/>
      <c r="G19" s="41"/>
      <c r="H19" s="41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93" t="s">
        <v>82</v>
      </c>
      <c r="B20" s="11" t="s">
        <v>17</v>
      </c>
      <c r="C20" s="12"/>
      <c r="D20" s="12">
        <v>60000.0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A21" s="94"/>
      <c r="B21" s="18" t="s">
        <v>18</v>
      </c>
      <c r="C21" s="19"/>
      <c r="D21" s="19" t="s">
        <v>26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95"/>
      <c r="B22" s="23" t="s">
        <v>19</v>
      </c>
      <c r="C22" s="25"/>
      <c r="D22" s="25">
        <v>45978.0</v>
      </c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96" t="s">
        <v>83</v>
      </c>
      <c r="B23" s="31" t="s">
        <v>17</v>
      </c>
      <c r="C23" s="32">
        <v>35000.0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A24" s="94"/>
      <c r="B24" s="37" t="s">
        <v>18</v>
      </c>
      <c r="C24" s="38" t="s">
        <v>26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95"/>
      <c r="B25" s="40" t="s">
        <v>19</v>
      </c>
      <c r="C25" s="49">
        <v>45980.0</v>
      </c>
      <c r="D25" s="49"/>
      <c r="E25" s="49"/>
      <c r="F25" s="51"/>
      <c r="G25" s="42"/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93" t="s">
        <v>84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A27" s="94"/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95"/>
      <c r="B28" s="23" t="s">
        <v>19</v>
      </c>
      <c r="C28" s="25"/>
      <c r="D28" s="25"/>
      <c r="E28" s="25"/>
      <c r="F28" s="27"/>
      <c r="G28" s="27"/>
      <c r="H28" s="27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96" t="s">
        <v>85</v>
      </c>
      <c r="B29" s="31" t="s">
        <v>17</v>
      </c>
      <c r="C29" s="32">
        <v>60000.0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A30" s="94"/>
      <c r="B30" s="37" t="s">
        <v>18</v>
      </c>
      <c r="C30" s="38" t="s">
        <v>26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95"/>
      <c r="B31" s="40" t="s">
        <v>19</v>
      </c>
      <c r="C31" s="49">
        <v>46006.0</v>
      </c>
      <c r="D31" s="49"/>
      <c r="E31" s="49"/>
      <c r="F31" s="49"/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97" t="s">
        <v>86</v>
      </c>
      <c r="B32" s="11" t="s">
        <v>17</v>
      </c>
      <c r="C32" s="12">
        <v>35000.0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4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 t="s">
        <v>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86">
        <v>45992.0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43"/>
      <c r="P34" s="22"/>
      <c r="Q34" s="36"/>
      <c r="R34" s="36"/>
    </row>
    <row r="35" ht="18.75" customHeight="1">
      <c r="A35" s="90" t="s">
        <v>87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51"/>
      <c r="D37" s="51"/>
      <c r="E37" s="51"/>
      <c r="F37" s="51"/>
      <c r="G37" s="42"/>
      <c r="H37" s="42"/>
      <c r="I37" s="42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97" t="s">
        <v>88</v>
      </c>
      <c r="B38" s="11" t="s">
        <v>17</v>
      </c>
      <c r="C38" s="12">
        <v>30000.0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 t="s">
        <v>35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>
        <v>46078.0</v>
      </c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90" t="s">
        <v>89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98" t="s">
        <v>90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/>
      <c r="D46" s="45"/>
      <c r="E46" s="45"/>
      <c r="F46" s="45"/>
      <c r="G46" s="25"/>
      <c r="H46" s="54"/>
      <c r="I46" s="54"/>
      <c r="J46" s="54"/>
      <c r="K46" s="54"/>
      <c r="L46" s="54"/>
      <c r="M46" s="54"/>
      <c r="N46" s="54"/>
      <c r="O46" s="43"/>
      <c r="P46" s="22"/>
      <c r="Q46" s="36"/>
      <c r="R46" s="36"/>
    </row>
    <row r="47" ht="18.75" customHeight="1">
      <c r="A47" s="90" t="s">
        <v>91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97" t="s">
        <v>92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/>
      <c r="D52" s="25"/>
      <c r="E52" s="25"/>
      <c r="F52" s="27"/>
      <c r="G52" s="27"/>
      <c r="H52" s="27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99" t="s">
        <v>93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100" t="s">
        <v>94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19</v>
      </c>
      <c r="C58" s="58"/>
      <c r="D58" s="58"/>
      <c r="E58" s="58"/>
      <c r="F58" s="60"/>
      <c r="G58" s="60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90" t="s">
        <v>95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19</v>
      </c>
      <c r="C61" s="51"/>
      <c r="D61" s="51"/>
      <c r="E61" s="51"/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97" t="s">
        <v>96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19</v>
      </c>
      <c r="C64" s="45"/>
      <c r="D64" s="45"/>
      <c r="E64" s="45"/>
      <c r="F64" s="27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90" t="s">
        <v>97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19</v>
      </c>
      <c r="C67" s="49"/>
      <c r="D67" s="49"/>
      <c r="E67" s="49"/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97" t="s">
        <v>98</v>
      </c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90" t="s">
        <v>99</v>
      </c>
      <c r="B71" s="31" t="s">
        <v>17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44">
        <f>SUMIF(F72:N72,"Efectivo",F71:N71)</f>
        <v>0</v>
      </c>
      <c r="P71" s="15">
        <f>SUMIF(F72:N72,"Mercado Pago",F71:N71)</f>
        <v>0</v>
      </c>
    </row>
    <row r="72">
      <c r="B72" s="37" t="s">
        <v>18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>
      <c r="A73" s="22"/>
      <c r="B73" s="40" t="s">
        <v>19</v>
      </c>
      <c r="C73" s="49"/>
      <c r="D73" s="49"/>
      <c r="E73" s="49"/>
      <c r="F73" s="49"/>
      <c r="G73" s="52"/>
      <c r="H73" s="52"/>
      <c r="I73" s="66"/>
      <c r="J73" s="66"/>
      <c r="K73" s="66"/>
      <c r="L73" s="66"/>
      <c r="M73" s="66"/>
      <c r="N73" s="66"/>
      <c r="O73" s="43"/>
      <c r="P73" s="22"/>
    </row>
    <row r="74">
      <c r="A74" s="97" t="s">
        <v>100</v>
      </c>
      <c r="B74" s="31" t="s">
        <v>17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44">
        <f>SUMIF(F75:N75,"Efectivo",F74:N74)</f>
        <v>0</v>
      </c>
      <c r="P74" s="15">
        <f>SUMIF(F75:N75,"Mercado Pago",F74:N74)</f>
        <v>0</v>
      </c>
    </row>
    <row r="75">
      <c r="B75" s="37" t="s">
        <v>18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9"/>
    </row>
    <row r="76">
      <c r="A76" s="22"/>
      <c r="B76" s="40" t="s">
        <v>19</v>
      </c>
      <c r="C76" s="49"/>
      <c r="D76" s="49"/>
      <c r="E76" s="49"/>
      <c r="F76" s="49"/>
      <c r="G76" s="52"/>
      <c r="H76" s="52"/>
      <c r="I76" s="66"/>
      <c r="J76" s="66"/>
      <c r="K76" s="66"/>
      <c r="L76" s="66"/>
      <c r="M76" s="66"/>
      <c r="N76" s="66"/>
      <c r="O76" s="43"/>
      <c r="P76" s="22"/>
    </row>
    <row r="77">
      <c r="A77" s="90" t="s">
        <v>101</v>
      </c>
      <c r="B77" s="11" t="s">
        <v>17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44">
        <f>SUMIF(F78:N78,"Efectivo",F77:N77)</f>
        <v>0</v>
      </c>
      <c r="P77" s="15">
        <f>SUMIF(F78:N78,"Mercado Pago",F77:N77)</f>
        <v>0</v>
      </c>
    </row>
    <row r="78">
      <c r="B78" s="18" t="s">
        <v>18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39"/>
    </row>
    <row r="79">
      <c r="A79" s="22"/>
      <c r="B79" s="68"/>
      <c r="C79" s="101"/>
      <c r="D79" s="101"/>
      <c r="E79" s="102"/>
      <c r="F79" s="102"/>
      <c r="G79" s="102"/>
      <c r="H79" s="68"/>
      <c r="I79" s="68"/>
      <c r="O79" s="43"/>
      <c r="P79" s="22"/>
    </row>
    <row r="80">
      <c r="A80" s="97" t="s">
        <v>102</v>
      </c>
      <c r="B80" s="31" t="s">
        <v>17</v>
      </c>
      <c r="C80" s="32">
        <v>60000.0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>
        <v>30000.0</v>
      </c>
      <c r="O80" s="44">
        <f>SUMIF(F81:N81,"Efectivo",F80:N80)</f>
        <v>0</v>
      </c>
      <c r="P80" s="15">
        <f>SUMIF(F81:N81,"Mercado Pago",F80:N80)</f>
        <v>30000</v>
      </c>
    </row>
    <row r="81">
      <c r="B81" s="37" t="s">
        <v>18</v>
      </c>
      <c r="C81" s="38" t="s">
        <v>35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 t="s">
        <v>35</v>
      </c>
      <c r="O81" s="39"/>
    </row>
    <row r="82">
      <c r="A82" s="22"/>
      <c r="B82" s="40" t="s">
        <v>19</v>
      </c>
      <c r="C82" s="49">
        <v>45986.0</v>
      </c>
      <c r="D82" s="49"/>
      <c r="E82" s="49"/>
      <c r="F82" s="49"/>
      <c r="G82" s="52"/>
      <c r="H82" s="52"/>
      <c r="I82" s="66"/>
      <c r="J82" s="66"/>
      <c r="K82" s="66"/>
      <c r="L82" s="66"/>
      <c r="M82" s="66"/>
      <c r="N82" s="66">
        <v>45908.0</v>
      </c>
      <c r="O82" s="43"/>
      <c r="P82" s="22"/>
    </row>
    <row r="83">
      <c r="A83" s="103" t="s">
        <v>103</v>
      </c>
      <c r="B83" s="31" t="s">
        <v>17</v>
      </c>
      <c r="C83" s="32">
        <v>35000.0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44">
        <f>SUMIF(F84:N84,"Efectivo",F83:N83)</f>
        <v>0</v>
      </c>
      <c r="P83" s="15">
        <f>SUMIF(F84:N84,"Mercado Pago",F83:N83)</f>
        <v>0</v>
      </c>
    </row>
    <row r="84">
      <c r="B84" s="37" t="s">
        <v>18</v>
      </c>
      <c r="C84" s="38" t="s">
        <v>26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9"/>
    </row>
    <row r="85">
      <c r="B85" s="40" t="s">
        <v>19</v>
      </c>
      <c r="C85" s="49">
        <v>46080.0</v>
      </c>
      <c r="D85" s="49"/>
      <c r="E85" s="49"/>
      <c r="F85" s="49"/>
      <c r="G85" s="52"/>
      <c r="H85" s="52"/>
      <c r="I85" s="66"/>
      <c r="J85" s="66"/>
      <c r="K85" s="66"/>
      <c r="L85" s="66"/>
      <c r="M85" s="66"/>
      <c r="N85" s="66"/>
      <c r="O85" s="43"/>
      <c r="P85" s="22"/>
    </row>
    <row r="86">
      <c r="A86" s="67"/>
      <c r="B86" s="68"/>
      <c r="C86" s="68"/>
      <c r="D86" s="68"/>
      <c r="E86" s="68"/>
      <c r="F86" s="68"/>
      <c r="G86" s="68"/>
      <c r="H86" s="68"/>
      <c r="I86" s="68"/>
    </row>
    <row r="87">
      <c r="A87" s="67"/>
      <c r="B87" s="68"/>
      <c r="C87" s="68"/>
      <c r="D87" s="68"/>
      <c r="E87" s="68"/>
      <c r="F87" s="68"/>
      <c r="G87" s="68"/>
      <c r="H87" s="68"/>
      <c r="I87" s="68"/>
    </row>
    <row r="88">
      <c r="A88" s="67"/>
      <c r="B88" s="68"/>
      <c r="C88" s="68"/>
      <c r="D88" s="68"/>
      <c r="E88" s="68"/>
      <c r="F88" s="68"/>
      <c r="G88" s="68"/>
      <c r="H88" s="68"/>
      <c r="I88" s="68"/>
    </row>
    <row r="89">
      <c r="A89" s="67"/>
      <c r="B89" s="68"/>
      <c r="C89" s="68"/>
      <c r="D89" s="68"/>
      <c r="E89" s="68"/>
      <c r="F89" s="68"/>
      <c r="G89" s="68"/>
      <c r="H89" s="68"/>
      <c r="I89" s="68"/>
    </row>
    <row r="90">
      <c r="A90" s="67"/>
      <c r="B90" s="68"/>
      <c r="C90" s="68"/>
      <c r="D90" s="68"/>
      <c r="E90" s="68"/>
      <c r="F90" s="68"/>
      <c r="G90" s="68"/>
      <c r="H90" s="68"/>
      <c r="I90" s="68"/>
    </row>
    <row r="91">
      <c r="A91" s="67"/>
      <c r="B91" s="68"/>
      <c r="C91" s="68"/>
      <c r="D91" s="68"/>
      <c r="E91" s="68"/>
      <c r="F91" s="68"/>
      <c r="G91" s="68"/>
      <c r="H91" s="68"/>
      <c r="I91" s="68"/>
    </row>
    <row r="92">
      <c r="A92" s="67"/>
      <c r="B92" s="68"/>
      <c r="C92" s="68"/>
      <c r="D92" s="68"/>
      <c r="E92" s="68"/>
      <c r="F92" s="68"/>
      <c r="G92" s="68"/>
      <c r="H92" s="68"/>
      <c r="I92" s="68"/>
    </row>
    <row r="93">
      <c r="A93" s="67"/>
      <c r="B93" s="68"/>
      <c r="C93" s="68"/>
      <c r="D93" s="68"/>
      <c r="E93" s="68"/>
      <c r="F93" s="68"/>
      <c r="G93" s="68"/>
      <c r="H93" s="68"/>
      <c r="I93" s="68"/>
    </row>
    <row r="94">
      <c r="A94" s="67"/>
      <c r="B94" s="68"/>
      <c r="C94" s="68"/>
      <c r="D94" s="68"/>
      <c r="E94" s="68"/>
      <c r="F94" s="68"/>
      <c r="G94" s="68"/>
      <c r="H94" s="68"/>
      <c r="I94" s="68"/>
    </row>
    <row r="95">
      <c r="A95" s="67"/>
      <c r="B95" s="68"/>
      <c r="C95" s="68"/>
      <c r="D95" s="68"/>
      <c r="E95" s="68"/>
      <c r="F95" s="68"/>
      <c r="G95" s="68"/>
      <c r="H95" s="68"/>
      <c r="I95" s="68"/>
    </row>
    <row r="96">
      <c r="A96" s="67"/>
      <c r="B96" s="68"/>
      <c r="C96" s="68"/>
      <c r="D96" s="68"/>
      <c r="E96" s="68"/>
      <c r="F96" s="68"/>
      <c r="G96" s="68"/>
      <c r="H96" s="68"/>
      <c r="I96" s="68"/>
    </row>
    <row r="97">
      <c r="A97" s="67"/>
      <c r="B97" s="68"/>
      <c r="C97" s="68"/>
      <c r="D97" s="68"/>
      <c r="E97" s="68"/>
      <c r="F97" s="68"/>
      <c r="G97" s="68"/>
      <c r="H97" s="68"/>
      <c r="I97" s="68"/>
    </row>
    <row r="98">
      <c r="A98" s="67"/>
      <c r="B98" s="68"/>
      <c r="C98" s="68"/>
      <c r="D98" s="68"/>
      <c r="E98" s="68"/>
      <c r="F98" s="68"/>
      <c r="G98" s="68"/>
      <c r="H98" s="68"/>
      <c r="I98" s="68"/>
    </row>
    <row r="99">
      <c r="A99" s="67"/>
      <c r="B99" s="68"/>
      <c r="C99" s="68"/>
      <c r="D99" s="68"/>
      <c r="E99" s="68"/>
      <c r="F99" s="68"/>
      <c r="G99" s="68"/>
      <c r="H99" s="68"/>
      <c r="I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94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77:A79"/>
    <mergeCell ref="A80:A82"/>
    <mergeCell ref="A83:A85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41:P43"/>
    <mergeCell ref="P44:P46"/>
    <mergeCell ref="P47:P49"/>
    <mergeCell ref="P50:P52"/>
    <mergeCell ref="P53:P55"/>
    <mergeCell ref="P56:P58"/>
    <mergeCell ref="P59:P61"/>
    <mergeCell ref="O74:O76"/>
    <mergeCell ref="O77:O79"/>
    <mergeCell ref="O80:O82"/>
    <mergeCell ref="O83:O85"/>
    <mergeCell ref="O86:O88"/>
    <mergeCell ref="O89:O91"/>
    <mergeCell ref="O92:O94"/>
    <mergeCell ref="P77:P79"/>
    <mergeCell ref="P80:P82"/>
    <mergeCell ref="P83:P85"/>
    <mergeCell ref="P86:P88"/>
    <mergeCell ref="P89:P91"/>
    <mergeCell ref="P92:P94"/>
    <mergeCell ref="P62:P64"/>
    <mergeCell ref="P65:P67"/>
    <mergeCell ref="O68:O70"/>
    <mergeCell ref="P68:P70"/>
    <mergeCell ref="O71:O73"/>
    <mergeCell ref="P71:P73"/>
    <mergeCell ref="P74:P76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 C66:N66 C69:N69 C72:N72 C75:N75 C78:N78 C81:N81 C84:N84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 C73:N73 C76:N76 C82:N82 C85:N85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1" t="s">
        <v>0</v>
      </c>
      <c r="B1" s="2"/>
      <c r="C1" s="3" t="s">
        <v>1</v>
      </c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3" t="s">
        <v>14</v>
      </c>
      <c r="R1" s="9" t="s">
        <v>15</v>
      </c>
    </row>
    <row r="2" ht="18.75" customHeight="1">
      <c r="A2" s="104" t="s">
        <v>104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70000</v>
      </c>
      <c r="R2" s="17">
        <f t="shared" si="1"/>
        <v>0</v>
      </c>
    </row>
    <row r="3" ht="18.75" customHeight="1">
      <c r="A3" s="94"/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95"/>
      <c r="B4" s="23" t="s">
        <v>19</v>
      </c>
      <c r="C4" s="24"/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105" t="s">
        <v>105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19</v>
      </c>
      <c r="C7" s="41"/>
      <c r="D7" s="41"/>
      <c r="E7" s="41"/>
      <c r="F7" s="41"/>
      <c r="G7" s="62"/>
      <c r="H7" s="41"/>
      <c r="I7" s="41"/>
      <c r="J7" s="41"/>
      <c r="K7" s="42"/>
      <c r="L7" s="42"/>
      <c r="M7" s="42"/>
      <c r="N7" s="42"/>
      <c r="O7" s="43"/>
      <c r="P7" s="22"/>
      <c r="Q7" s="36"/>
      <c r="R7" s="36"/>
    </row>
    <row r="8" ht="18.75" customHeight="1">
      <c r="A8" s="106" t="s">
        <v>106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19</v>
      </c>
      <c r="C10" s="45"/>
      <c r="D10" s="45"/>
      <c r="E10" s="45"/>
      <c r="F10" s="46"/>
      <c r="G10" s="47"/>
      <c r="H10" s="27"/>
      <c r="I10" s="27"/>
      <c r="J10" s="27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105" t="s">
        <v>107</v>
      </c>
      <c r="B11" s="31" t="s">
        <v>17</v>
      </c>
      <c r="C11" s="32"/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19</v>
      </c>
      <c r="C13" s="49"/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107" t="s">
        <v>108</v>
      </c>
      <c r="B14" s="11" t="s">
        <v>17</v>
      </c>
      <c r="C14" s="12">
        <v>60000.0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 t="s">
        <v>26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19</v>
      </c>
      <c r="C16" s="25">
        <v>46100.0</v>
      </c>
      <c r="D16" s="25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105" t="s">
        <v>109</v>
      </c>
      <c r="B17" s="31" t="s">
        <v>17</v>
      </c>
      <c r="C17" s="32"/>
      <c r="D17" s="32">
        <v>60000.0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/>
      <c r="D18" s="38" t="s">
        <v>26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19</v>
      </c>
      <c r="C19" s="62"/>
      <c r="D19" s="62">
        <v>45980.0</v>
      </c>
      <c r="E19" s="41"/>
      <c r="F19" s="41"/>
      <c r="G19" s="41"/>
      <c r="H19" s="41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106" t="s">
        <v>110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105" t="s">
        <v>111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19</v>
      </c>
      <c r="C25" s="49"/>
      <c r="D25" s="49"/>
      <c r="E25" s="49"/>
      <c r="F25" s="51"/>
      <c r="G25" s="42"/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106" t="s">
        <v>112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19</v>
      </c>
      <c r="C28" s="25"/>
      <c r="D28" s="25"/>
      <c r="E28" s="25"/>
      <c r="F28" s="27"/>
      <c r="G28" s="27"/>
      <c r="H28" s="27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105" t="s">
        <v>113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19</v>
      </c>
      <c r="C31" s="49"/>
      <c r="D31" s="49"/>
      <c r="E31" s="49"/>
      <c r="F31" s="49"/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106" t="s">
        <v>114</v>
      </c>
      <c r="B32" s="11" t="s">
        <v>17</v>
      </c>
      <c r="C32" s="12"/>
      <c r="D32" s="12"/>
      <c r="E32" s="12">
        <v>30000.0</v>
      </c>
      <c r="F32" s="12">
        <v>35000.0</v>
      </c>
      <c r="G32" s="12">
        <v>35000.0</v>
      </c>
      <c r="H32" s="12"/>
      <c r="I32" s="12"/>
      <c r="J32" s="12"/>
      <c r="K32" s="12"/>
      <c r="L32" s="12"/>
      <c r="M32" s="12"/>
      <c r="N32" s="12"/>
      <c r="O32" s="44">
        <f>SUMIF(F33:N33,"Efectivo",F32:N32)</f>
        <v>70000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 t="s">
        <v>26</v>
      </c>
      <c r="F33" s="19" t="s">
        <v>26</v>
      </c>
      <c r="G33" s="19" t="s">
        <v>26</v>
      </c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26"/>
      <c r="D34" s="26"/>
      <c r="E34" s="26">
        <v>46093.0</v>
      </c>
      <c r="F34" s="26">
        <v>46128.0</v>
      </c>
      <c r="G34" s="26">
        <v>46156.0</v>
      </c>
      <c r="H34" s="26"/>
      <c r="I34" s="26"/>
      <c r="J34" s="26"/>
      <c r="K34" s="26"/>
      <c r="L34" s="86"/>
      <c r="M34" s="27"/>
      <c r="N34" s="27"/>
      <c r="O34" s="43"/>
      <c r="P34" s="22"/>
      <c r="Q34" s="36"/>
      <c r="R34" s="36"/>
    </row>
    <row r="35" ht="18.75" customHeight="1">
      <c r="A35" s="105" t="s">
        <v>115</v>
      </c>
      <c r="B35" s="31" t="s">
        <v>17</v>
      </c>
      <c r="C35" s="32">
        <v>60000.0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 t="s">
        <v>35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51">
        <v>46073.0</v>
      </c>
      <c r="D37" s="51"/>
      <c r="E37" s="51"/>
      <c r="F37" s="51"/>
      <c r="G37" s="42"/>
      <c r="H37" s="42"/>
      <c r="I37" s="42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106" t="s">
        <v>116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105" t="s">
        <v>117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108" t="s">
        <v>118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/>
      <c r="D46" s="45"/>
      <c r="E46" s="45"/>
      <c r="F46" s="45"/>
      <c r="G46" s="25"/>
      <c r="H46" s="45"/>
      <c r="I46" s="45"/>
      <c r="J46" s="45"/>
      <c r="K46" s="45"/>
      <c r="L46" s="54"/>
      <c r="M46" s="54"/>
      <c r="N46" s="54"/>
      <c r="O46" s="43"/>
      <c r="P46" s="22"/>
      <c r="Q46" s="36"/>
      <c r="R46" s="36"/>
    </row>
    <row r="47" ht="18.75" customHeight="1">
      <c r="A47" s="105" t="s">
        <v>119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106" t="s">
        <v>120</v>
      </c>
      <c r="B50" s="11" t="s">
        <v>17</v>
      </c>
      <c r="C50" s="12">
        <v>35000.0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 t="s">
        <v>26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>
        <v>45981.0</v>
      </c>
      <c r="D52" s="25"/>
      <c r="E52" s="25"/>
      <c r="F52" s="26"/>
      <c r="G52" s="26"/>
      <c r="H52" s="26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30" t="s">
        <v>121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109"/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A57" s="39"/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43"/>
      <c r="B58" s="23" t="s">
        <v>19</v>
      </c>
      <c r="C58" s="58"/>
      <c r="D58" s="58"/>
      <c r="E58" s="58"/>
      <c r="F58" s="60"/>
      <c r="G58" s="60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110" t="s">
        <v>122</v>
      </c>
      <c r="B59" s="31" t="s">
        <v>17</v>
      </c>
      <c r="C59" s="32"/>
      <c r="D59" s="32"/>
      <c r="E59" s="32">
        <v>30000.0</v>
      </c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A60" s="39"/>
      <c r="B60" s="37" t="s">
        <v>18</v>
      </c>
      <c r="C60" s="38"/>
      <c r="D60" s="38"/>
      <c r="E60" s="38" t="s">
        <v>35</v>
      </c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43"/>
      <c r="B61" s="40" t="s">
        <v>19</v>
      </c>
      <c r="C61" s="51"/>
      <c r="D61" s="51"/>
      <c r="E61" s="51">
        <v>46090.0</v>
      </c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109"/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A63" s="39"/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43"/>
      <c r="B64" s="23" t="s">
        <v>19</v>
      </c>
      <c r="C64" s="45"/>
      <c r="D64" s="45"/>
      <c r="E64" s="45"/>
      <c r="F64" s="27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111"/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A66" s="39"/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43"/>
      <c r="B67" s="40" t="s">
        <v>19</v>
      </c>
      <c r="C67" s="49"/>
      <c r="D67" s="49"/>
      <c r="E67" s="49"/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109"/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A69" s="39"/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43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67"/>
      <c r="B71" s="68"/>
      <c r="C71" s="68"/>
      <c r="D71" s="68"/>
      <c r="E71" s="68"/>
      <c r="F71" s="68"/>
      <c r="G71" s="68"/>
      <c r="H71" s="68"/>
      <c r="I71" s="68"/>
    </row>
    <row r="72">
      <c r="A72" s="67"/>
      <c r="B72" s="68"/>
      <c r="C72" s="68"/>
      <c r="D72" s="68"/>
      <c r="E72" s="68"/>
      <c r="F72" s="68"/>
      <c r="G72" s="68"/>
      <c r="H72" s="68"/>
      <c r="I72" s="68"/>
    </row>
    <row r="73">
      <c r="A73" s="67"/>
      <c r="B73" s="68"/>
      <c r="C73" s="68"/>
      <c r="D73" s="68"/>
      <c r="E73" s="68"/>
      <c r="F73" s="68"/>
      <c r="G73" s="68"/>
      <c r="H73" s="68"/>
      <c r="I73" s="68"/>
    </row>
    <row r="74">
      <c r="A74" s="67"/>
      <c r="B74" s="68"/>
      <c r="C74" s="68"/>
      <c r="D74" s="68"/>
      <c r="E74" s="68"/>
      <c r="F74" s="68"/>
      <c r="G74" s="68"/>
      <c r="H74" s="68"/>
      <c r="I74" s="68"/>
    </row>
    <row r="75">
      <c r="A75" s="67"/>
      <c r="B75" s="68"/>
      <c r="C75" s="68"/>
      <c r="D75" s="68"/>
      <c r="E75" s="68"/>
      <c r="F75" s="68"/>
      <c r="G75" s="68"/>
      <c r="H75" s="68"/>
      <c r="I75" s="68"/>
    </row>
    <row r="76">
      <c r="A76" s="67"/>
      <c r="B76" s="68"/>
      <c r="C76" s="68"/>
      <c r="D76" s="68"/>
      <c r="E76" s="68"/>
      <c r="F76" s="68"/>
      <c r="G76" s="68"/>
      <c r="H76" s="68"/>
      <c r="I76" s="68"/>
    </row>
    <row r="77">
      <c r="A77" s="67"/>
      <c r="B77" s="68"/>
      <c r="C77" s="68"/>
      <c r="D77" s="68"/>
      <c r="E77" s="68"/>
      <c r="F77" s="68"/>
      <c r="G77" s="68"/>
      <c r="H77" s="68"/>
      <c r="I77" s="68"/>
    </row>
    <row r="78">
      <c r="A78" s="67"/>
      <c r="B78" s="68"/>
      <c r="C78" s="68"/>
      <c r="D78" s="68"/>
      <c r="E78" s="68"/>
      <c r="F78" s="68"/>
      <c r="G78" s="68"/>
      <c r="H78" s="68"/>
      <c r="I78" s="68"/>
    </row>
    <row r="79">
      <c r="A79" s="67"/>
      <c r="B79" s="68"/>
      <c r="C79" s="68"/>
      <c r="D79" s="68"/>
      <c r="E79" s="68"/>
      <c r="F79" s="68"/>
      <c r="G79" s="68"/>
      <c r="H79" s="68"/>
      <c r="I79" s="68"/>
    </row>
    <row r="80">
      <c r="A80" s="67"/>
      <c r="B80" s="68"/>
      <c r="C80" s="68"/>
      <c r="D80" s="68"/>
      <c r="E80" s="68"/>
      <c r="F80" s="68"/>
      <c r="G80" s="68"/>
      <c r="H80" s="68"/>
      <c r="I80" s="68"/>
    </row>
    <row r="81">
      <c r="A81" s="67"/>
      <c r="B81" s="68"/>
      <c r="C81" s="68"/>
      <c r="D81" s="68"/>
      <c r="E81" s="68"/>
      <c r="F81" s="68"/>
      <c r="G81" s="68"/>
      <c r="H81" s="68"/>
      <c r="I81" s="68"/>
    </row>
    <row r="82">
      <c r="A82" s="67"/>
      <c r="B82" s="68"/>
      <c r="C82" s="68"/>
      <c r="D82" s="68"/>
      <c r="E82" s="68"/>
      <c r="F82" s="68"/>
      <c r="G82" s="68"/>
      <c r="H82" s="68"/>
      <c r="I82" s="68"/>
    </row>
    <row r="83">
      <c r="A83" s="67"/>
      <c r="B83" s="68"/>
      <c r="C83" s="68"/>
      <c r="D83" s="68"/>
      <c r="E83" s="68"/>
      <c r="F83" s="68"/>
      <c r="G83" s="68"/>
      <c r="H83" s="68"/>
      <c r="I83" s="68"/>
    </row>
    <row r="84">
      <c r="A84" s="67"/>
      <c r="B84" s="68"/>
      <c r="C84" s="68"/>
      <c r="D84" s="68"/>
      <c r="E84" s="68"/>
      <c r="F84" s="68"/>
      <c r="G84" s="68"/>
      <c r="H84" s="68"/>
      <c r="I84" s="68"/>
    </row>
    <row r="85">
      <c r="A85" s="67"/>
      <c r="B85" s="68"/>
      <c r="C85" s="68"/>
      <c r="D85" s="68"/>
      <c r="E85" s="68"/>
      <c r="F85" s="68"/>
      <c r="G85" s="68"/>
      <c r="H85" s="68"/>
      <c r="I85" s="68"/>
    </row>
    <row r="86">
      <c r="A86" s="67"/>
      <c r="B86" s="68"/>
      <c r="C86" s="68"/>
      <c r="D86" s="68"/>
      <c r="E86" s="68"/>
      <c r="F86" s="68"/>
      <c r="G86" s="68"/>
      <c r="H86" s="68"/>
      <c r="I86" s="68"/>
    </row>
    <row r="87">
      <c r="A87" s="67"/>
      <c r="B87" s="68"/>
      <c r="C87" s="68"/>
      <c r="D87" s="68"/>
      <c r="E87" s="68"/>
      <c r="F87" s="68"/>
      <c r="G87" s="68"/>
      <c r="H87" s="68"/>
      <c r="I87" s="68"/>
    </row>
    <row r="88">
      <c r="A88" s="67"/>
      <c r="B88" s="68"/>
      <c r="C88" s="68"/>
      <c r="D88" s="68"/>
      <c r="E88" s="68"/>
      <c r="F88" s="68"/>
      <c r="G88" s="68"/>
      <c r="H88" s="68"/>
      <c r="I88" s="68"/>
    </row>
    <row r="89">
      <c r="A89" s="67"/>
      <c r="B89" s="68"/>
      <c r="C89" s="68"/>
      <c r="D89" s="68"/>
      <c r="E89" s="68"/>
      <c r="F89" s="68"/>
      <c r="G89" s="68"/>
      <c r="H89" s="68"/>
      <c r="I89" s="68"/>
    </row>
    <row r="90">
      <c r="A90" s="67"/>
      <c r="B90" s="68"/>
      <c r="C90" s="68"/>
      <c r="D90" s="68"/>
      <c r="E90" s="68"/>
      <c r="F90" s="68"/>
      <c r="G90" s="68"/>
      <c r="H90" s="68"/>
      <c r="I90" s="68"/>
    </row>
    <row r="91">
      <c r="A91" s="67"/>
      <c r="B91" s="68"/>
      <c r="C91" s="68"/>
      <c r="D91" s="68"/>
      <c r="E91" s="68"/>
      <c r="F91" s="68"/>
      <c r="G91" s="68"/>
      <c r="H91" s="68"/>
      <c r="I91" s="68"/>
    </row>
    <row r="92">
      <c r="A92" s="67"/>
      <c r="B92" s="68"/>
      <c r="C92" s="68"/>
      <c r="D92" s="68"/>
      <c r="E92" s="68"/>
      <c r="F92" s="68"/>
      <c r="G92" s="68"/>
      <c r="H92" s="68"/>
      <c r="I92" s="68"/>
    </row>
    <row r="93">
      <c r="A93" s="67"/>
      <c r="B93" s="68"/>
      <c r="C93" s="68"/>
      <c r="D93" s="68"/>
      <c r="E93" s="68"/>
      <c r="F93" s="68"/>
      <c r="G93" s="68"/>
      <c r="H93" s="68"/>
      <c r="I93" s="68"/>
    </row>
    <row r="94">
      <c r="A94" s="67"/>
      <c r="B94" s="68"/>
      <c r="C94" s="68"/>
      <c r="D94" s="68"/>
      <c r="E94" s="68"/>
      <c r="F94" s="68"/>
      <c r="G94" s="68"/>
      <c r="H94" s="68"/>
      <c r="I94" s="68"/>
    </row>
    <row r="95">
      <c r="A95" s="67"/>
      <c r="B95" s="68"/>
      <c r="C95" s="68"/>
      <c r="D95" s="68"/>
      <c r="E95" s="68"/>
      <c r="F95" s="68"/>
      <c r="G95" s="68"/>
      <c r="H95" s="68"/>
      <c r="I95" s="68"/>
    </row>
    <row r="96">
      <c r="A96" s="67"/>
      <c r="B96" s="68"/>
      <c r="C96" s="68"/>
      <c r="D96" s="68"/>
      <c r="E96" s="68"/>
      <c r="F96" s="68"/>
      <c r="G96" s="68"/>
      <c r="H96" s="68"/>
      <c r="I96" s="68"/>
    </row>
    <row r="97">
      <c r="A97" s="67"/>
      <c r="B97" s="68"/>
      <c r="C97" s="68"/>
      <c r="D97" s="68"/>
      <c r="E97" s="68"/>
      <c r="F97" s="68"/>
      <c r="G97" s="68"/>
      <c r="H97" s="68"/>
      <c r="I97" s="68"/>
    </row>
    <row r="98">
      <c r="A98" s="67"/>
      <c r="B98" s="68"/>
      <c r="C98" s="68"/>
      <c r="D98" s="68"/>
      <c r="E98" s="68"/>
      <c r="F98" s="68"/>
      <c r="G98" s="68"/>
      <c r="H98" s="68"/>
      <c r="I98" s="68"/>
    </row>
    <row r="99">
      <c r="A99" s="67"/>
      <c r="B99" s="68"/>
      <c r="C99" s="68"/>
      <c r="D99" s="68"/>
      <c r="E99" s="68"/>
      <c r="F99" s="68"/>
      <c r="G99" s="68"/>
      <c r="H99" s="68"/>
      <c r="I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62:P64"/>
    <mergeCell ref="P65:P67"/>
    <mergeCell ref="O68:O70"/>
    <mergeCell ref="P68:P70"/>
    <mergeCell ref="P41:P43"/>
    <mergeCell ref="P44:P46"/>
    <mergeCell ref="P47:P49"/>
    <mergeCell ref="P50:P52"/>
    <mergeCell ref="P53:P55"/>
    <mergeCell ref="P56:P58"/>
    <mergeCell ref="P59:P61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 C66:N66 C69:N69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35.78"/>
    <col customWidth="1" min="2" max="8" width="13.44"/>
    <col customWidth="1" min="17" max="17" width="16.44"/>
    <col customWidth="1" min="18" max="18" width="18.89"/>
  </cols>
  <sheetData>
    <row r="1" ht="37.5" customHeight="1">
      <c r="A1" s="4"/>
      <c r="B1" s="2"/>
      <c r="C1" s="3" t="s">
        <v>1</v>
      </c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3" t="s">
        <v>14</v>
      </c>
      <c r="R1" s="9" t="s">
        <v>15</v>
      </c>
    </row>
    <row r="2" ht="18.75" customHeight="1">
      <c r="A2" s="97" t="s">
        <v>123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0</v>
      </c>
      <c r="R2" s="17">
        <f t="shared" si="1"/>
        <v>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19</v>
      </c>
      <c r="C4" s="24"/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90" t="s">
        <v>124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19</v>
      </c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3"/>
      <c r="P7" s="22"/>
      <c r="Q7" s="36"/>
      <c r="R7" s="36"/>
    </row>
    <row r="8" ht="18.75" customHeight="1">
      <c r="A8" s="97" t="s">
        <v>125</v>
      </c>
      <c r="B8" s="11" t="s">
        <v>17</v>
      </c>
      <c r="C8" s="12">
        <v>60000.0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 t="s">
        <v>26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19</v>
      </c>
      <c r="C10" s="45">
        <v>45981.0</v>
      </c>
      <c r="D10" s="45"/>
      <c r="E10" s="45"/>
      <c r="F10" s="46"/>
      <c r="G10" s="47"/>
      <c r="H10" s="26"/>
      <c r="I10" s="26"/>
      <c r="J10" s="27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112" t="s">
        <v>126</v>
      </c>
      <c r="B11" s="31" t="s">
        <v>17</v>
      </c>
      <c r="C11" s="32"/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19</v>
      </c>
      <c r="C13" s="49"/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97" t="s">
        <v>127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19</v>
      </c>
      <c r="C16" s="25"/>
      <c r="D16" s="25"/>
      <c r="E16" s="25"/>
      <c r="F16" s="26"/>
      <c r="G16" s="26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90" t="s">
        <v>128</v>
      </c>
      <c r="B17" s="31" t="s">
        <v>17</v>
      </c>
      <c r="C17" s="32">
        <v>60000.0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 t="s">
        <v>26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19</v>
      </c>
      <c r="C19" s="41">
        <v>46084.0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97" t="s">
        <v>129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90" t="s">
        <v>130</v>
      </c>
      <c r="B23" s="31" t="s">
        <v>17</v>
      </c>
      <c r="C23" s="32"/>
      <c r="D23" s="32">
        <v>30000.0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/>
      <c r="D24" s="38" t="s">
        <v>35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19</v>
      </c>
      <c r="C25" s="49"/>
      <c r="D25" s="49">
        <v>46083.0</v>
      </c>
      <c r="E25" s="49"/>
      <c r="F25" s="51"/>
      <c r="G25" s="41"/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113" t="s">
        <v>131</v>
      </c>
      <c r="B26" s="11" t="s">
        <v>17</v>
      </c>
      <c r="C26" s="12">
        <v>30000.0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 t="s">
        <v>35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19</v>
      </c>
      <c r="C28" s="25">
        <v>46078.0</v>
      </c>
      <c r="D28" s="25"/>
      <c r="E28" s="25"/>
      <c r="F28" s="26"/>
      <c r="G28" s="114"/>
      <c r="H28" s="114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90" t="s">
        <v>132</v>
      </c>
      <c r="B29" s="31" t="s">
        <v>17</v>
      </c>
      <c r="C29" s="32">
        <v>60000.0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 t="s">
        <v>26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19</v>
      </c>
      <c r="C31" s="49">
        <v>45980.0</v>
      </c>
      <c r="D31" s="49"/>
      <c r="E31" s="49"/>
      <c r="F31" s="49"/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97" t="s">
        <v>133</v>
      </c>
      <c r="B32" s="11" t="s">
        <v>17</v>
      </c>
      <c r="C32" s="12"/>
      <c r="D32" s="12"/>
      <c r="E32" s="12">
        <v>30000.0</v>
      </c>
      <c r="F32" s="12"/>
      <c r="G32" s="12"/>
      <c r="H32" s="12"/>
      <c r="I32" s="12"/>
      <c r="J32" s="12"/>
      <c r="K32" s="12"/>
      <c r="L32" s="12"/>
      <c r="M32" s="12"/>
      <c r="N32" s="12"/>
      <c r="O32" s="44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 t="s">
        <v>35</v>
      </c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26"/>
      <c r="D34" s="26"/>
      <c r="E34" s="26">
        <v>46086.0</v>
      </c>
      <c r="F34" s="26"/>
      <c r="G34" s="26"/>
      <c r="H34" s="26"/>
      <c r="I34" s="26"/>
      <c r="J34" s="26"/>
      <c r="K34" s="27"/>
      <c r="L34" s="27"/>
      <c r="M34" s="27"/>
      <c r="N34" s="27"/>
      <c r="O34" s="43"/>
      <c r="P34" s="22"/>
      <c r="Q34" s="36"/>
      <c r="R34" s="36"/>
    </row>
    <row r="35" ht="18.75" customHeight="1">
      <c r="A35" s="90" t="s">
        <v>134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51"/>
      <c r="D37" s="51"/>
      <c r="E37" s="51"/>
      <c r="F37" s="51"/>
      <c r="G37" s="41"/>
      <c r="H37" s="41"/>
      <c r="I37" s="41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97" t="s">
        <v>135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90" t="s">
        <v>136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98" t="s">
        <v>137</v>
      </c>
      <c r="B44" s="11" t="s">
        <v>17</v>
      </c>
      <c r="C44" s="12">
        <v>60000.0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 t="s">
        <v>35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>
        <v>46063.0</v>
      </c>
      <c r="D46" s="45"/>
      <c r="E46" s="45"/>
      <c r="F46" s="45"/>
      <c r="G46" s="25"/>
      <c r="H46" s="45"/>
      <c r="I46" s="45"/>
      <c r="J46" s="25"/>
      <c r="K46" s="54"/>
      <c r="L46" s="54"/>
      <c r="M46" s="54"/>
      <c r="N46" s="54"/>
      <c r="O46" s="43"/>
      <c r="P46" s="22"/>
      <c r="Q46" s="36"/>
      <c r="R46" s="36"/>
    </row>
    <row r="47" ht="18.75" customHeight="1">
      <c r="A47" s="90" t="s">
        <v>138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97" t="s">
        <v>139</v>
      </c>
      <c r="B50" s="11" t="s">
        <v>17</v>
      </c>
      <c r="C50" s="12">
        <v>60000.0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 t="s">
        <v>26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>
        <v>45978.0</v>
      </c>
      <c r="D52" s="25"/>
      <c r="E52" s="25"/>
      <c r="F52" s="26"/>
      <c r="G52" s="26"/>
      <c r="H52" s="27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99" t="s">
        <v>140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97" t="s">
        <v>141</v>
      </c>
      <c r="B56" s="11" t="s">
        <v>17</v>
      </c>
      <c r="C56" s="12">
        <v>60000.0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 t="s">
        <v>35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19</v>
      </c>
      <c r="C58" s="58">
        <v>46073.0</v>
      </c>
      <c r="D58" s="58"/>
      <c r="E58" s="58"/>
      <c r="F58" s="60"/>
      <c r="G58" s="60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90" t="s">
        <v>142</v>
      </c>
      <c r="B59" s="31" t="s">
        <v>17</v>
      </c>
      <c r="C59" s="32">
        <v>60000.0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 t="s">
        <v>26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19</v>
      </c>
      <c r="C61" s="51">
        <v>46079.0</v>
      </c>
      <c r="D61" s="51"/>
      <c r="E61" s="51"/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97" t="s">
        <v>143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19</v>
      </c>
      <c r="C64" s="45"/>
      <c r="D64" s="45"/>
      <c r="E64" s="45"/>
      <c r="F64" s="27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90" t="s">
        <v>144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19</v>
      </c>
      <c r="C67" s="49"/>
      <c r="D67" s="49"/>
      <c r="E67" s="49"/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97"/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68"/>
      <c r="B71" s="68"/>
      <c r="C71" s="68"/>
      <c r="D71" s="68"/>
      <c r="E71" s="68"/>
      <c r="F71" s="68"/>
      <c r="G71" s="68"/>
      <c r="H71" s="68"/>
      <c r="I71" s="68"/>
    </row>
    <row r="72">
      <c r="A72" s="68"/>
      <c r="B72" s="68"/>
      <c r="C72" s="68"/>
      <c r="D72" s="68"/>
      <c r="E72" s="68"/>
      <c r="F72" s="68"/>
      <c r="G72" s="68"/>
      <c r="H72" s="68"/>
      <c r="I72" s="68"/>
    </row>
    <row r="73">
      <c r="A73" s="68"/>
      <c r="B73" s="68"/>
      <c r="C73" s="68"/>
      <c r="D73" s="68"/>
      <c r="E73" s="68"/>
      <c r="F73" s="68"/>
      <c r="G73" s="68"/>
      <c r="H73" s="68"/>
      <c r="I73" s="68"/>
    </row>
    <row r="74">
      <c r="A74" s="68"/>
      <c r="B74" s="68"/>
      <c r="C74" s="68"/>
      <c r="D74" s="68"/>
      <c r="E74" s="68"/>
      <c r="F74" s="68"/>
      <c r="G74" s="68"/>
      <c r="H74" s="68"/>
      <c r="I74" s="68"/>
    </row>
    <row r="75">
      <c r="A75" s="68"/>
      <c r="B75" s="68"/>
      <c r="C75" s="68"/>
      <c r="D75" s="68"/>
      <c r="E75" s="68"/>
      <c r="F75" s="68"/>
      <c r="G75" s="68"/>
      <c r="H75" s="68"/>
      <c r="I75" s="68"/>
    </row>
    <row r="76">
      <c r="A76" s="68"/>
      <c r="B76" s="68"/>
      <c r="C76" s="68"/>
      <c r="D76" s="68"/>
      <c r="E76" s="68"/>
      <c r="F76" s="68"/>
      <c r="G76" s="68"/>
      <c r="H76" s="68"/>
      <c r="I76" s="68"/>
    </row>
    <row r="77">
      <c r="A77" s="68"/>
      <c r="B77" s="68"/>
      <c r="C77" s="68"/>
      <c r="D77" s="68"/>
      <c r="E77" s="68"/>
      <c r="F77" s="68"/>
      <c r="G77" s="68"/>
      <c r="H77" s="68"/>
      <c r="I77" s="68"/>
    </row>
    <row r="78">
      <c r="A78" s="68"/>
      <c r="B78" s="68"/>
      <c r="C78" s="68"/>
      <c r="D78" s="68"/>
      <c r="E78" s="68"/>
      <c r="F78" s="68"/>
      <c r="G78" s="68"/>
      <c r="H78" s="68"/>
      <c r="I78" s="68"/>
    </row>
    <row r="79">
      <c r="A79" s="68"/>
      <c r="B79" s="68"/>
      <c r="C79" s="68"/>
      <c r="D79" s="68"/>
      <c r="E79" s="68"/>
      <c r="F79" s="68"/>
      <c r="G79" s="68"/>
      <c r="H79" s="68"/>
      <c r="I79" s="68"/>
    </row>
    <row r="80">
      <c r="A80" s="68"/>
      <c r="B80" s="68"/>
      <c r="C80" s="68"/>
      <c r="D80" s="68"/>
      <c r="E80" s="68"/>
      <c r="F80" s="68"/>
      <c r="G80" s="68"/>
      <c r="H80" s="68"/>
      <c r="I80" s="68"/>
    </row>
    <row r="81">
      <c r="A81" s="68"/>
      <c r="B81" s="68"/>
      <c r="C81" s="68"/>
      <c r="D81" s="68"/>
      <c r="E81" s="68"/>
      <c r="F81" s="68"/>
      <c r="G81" s="68"/>
      <c r="H81" s="68"/>
      <c r="I81" s="68"/>
    </row>
    <row r="82">
      <c r="A82" s="68"/>
      <c r="B82" s="68"/>
      <c r="C82" s="68"/>
      <c r="D82" s="68"/>
      <c r="E82" s="68"/>
      <c r="F82" s="68"/>
      <c r="G82" s="68"/>
      <c r="H82" s="68"/>
      <c r="I82" s="68"/>
    </row>
    <row r="83">
      <c r="A83" s="68"/>
      <c r="B83" s="68"/>
      <c r="C83" s="68"/>
      <c r="D83" s="68"/>
      <c r="E83" s="68"/>
      <c r="F83" s="68"/>
      <c r="G83" s="68"/>
      <c r="H83" s="68"/>
      <c r="I83" s="68"/>
    </row>
    <row r="84">
      <c r="A84" s="68"/>
      <c r="B84" s="68"/>
      <c r="C84" s="68"/>
      <c r="D84" s="68"/>
      <c r="E84" s="68"/>
      <c r="F84" s="68"/>
      <c r="G84" s="68"/>
      <c r="H84" s="68"/>
      <c r="I84" s="68"/>
    </row>
    <row r="85">
      <c r="A85" s="68"/>
      <c r="B85" s="68"/>
      <c r="C85" s="68"/>
      <c r="D85" s="68"/>
      <c r="E85" s="68"/>
      <c r="F85" s="68"/>
      <c r="G85" s="68"/>
      <c r="H85" s="68"/>
      <c r="I85" s="68"/>
    </row>
    <row r="86">
      <c r="A86" s="68"/>
      <c r="B86" s="68"/>
      <c r="C86" s="68"/>
      <c r="D86" s="68"/>
      <c r="E86" s="68"/>
      <c r="F86" s="68"/>
      <c r="G86" s="68"/>
      <c r="H86" s="68"/>
      <c r="I86" s="68"/>
    </row>
    <row r="87">
      <c r="A87" s="68"/>
      <c r="B87" s="68"/>
      <c r="C87" s="68"/>
      <c r="D87" s="68"/>
      <c r="E87" s="68"/>
      <c r="F87" s="68"/>
      <c r="G87" s="68"/>
      <c r="H87" s="68"/>
      <c r="I87" s="68"/>
    </row>
    <row r="88">
      <c r="A88" s="68"/>
      <c r="B88" s="68"/>
      <c r="C88" s="68"/>
      <c r="D88" s="68"/>
      <c r="E88" s="68"/>
      <c r="F88" s="68"/>
      <c r="G88" s="68"/>
      <c r="H88" s="68"/>
      <c r="I88" s="68"/>
    </row>
    <row r="89">
      <c r="A89" s="68"/>
      <c r="B89" s="68"/>
      <c r="C89" s="68"/>
      <c r="D89" s="68"/>
      <c r="E89" s="68"/>
      <c r="F89" s="68"/>
      <c r="G89" s="68"/>
      <c r="H89" s="68"/>
      <c r="I89" s="68"/>
    </row>
    <row r="90">
      <c r="A90" s="68"/>
      <c r="B90" s="68"/>
      <c r="C90" s="68"/>
      <c r="D90" s="68"/>
      <c r="E90" s="68"/>
      <c r="F90" s="68"/>
      <c r="G90" s="68"/>
      <c r="H90" s="68"/>
      <c r="I90" s="68"/>
    </row>
    <row r="91">
      <c r="A91" s="68"/>
      <c r="B91" s="68"/>
      <c r="C91" s="68"/>
      <c r="D91" s="68"/>
      <c r="E91" s="68"/>
      <c r="F91" s="68"/>
      <c r="G91" s="68"/>
      <c r="H91" s="68"/>
      <c r="I91" s="68"/>
    </row>
    <row r="92">
      <c r="A92" s="68"/>
      <c r="B92" s="68"/>
      <c r="C92" s="68"/>
      <c r="D92" s="68"/>
      <c r="E92" s="68"/>
      <c r="F92" s="68"/>
      <c r="G92" s="68"/>
      <c r="H92" s="68"/>
      <c r="I92" s="68"/>
    </row>
    <row r="93">
      <c r="A93" s="68"/>
      <c r="B93" s="68"/>
      <c r="C93" s="68"/>
      <c r="D93" s="68"/>
      <c r="E93" s="68"/>
      <c r="F93" s="68"/>
      <c r="G93" s="68"/>
      <c r="H93" s="68"/>
      <c r="I93" s="68"/>
    </row>
    <row r="94">
      <c r="A94" s="68"/>
      <c r="B94" s="68"/>
      <c r="C94" s="68"/>
      <c r="D94" s="68"/>
      <c r="E94" s="68"/>
      <c r="F94" s="68"/>
      <c r="G94" s="68"/>
      <c r="H94" s="68"/>
      <c r="I94" s="68"/>
    </row>
    <row r="95">
      <c r="A95" s="68"/>
      <c r="B95" s="68"/>
      <c r="C95" s="68"/>
      <c r="D95" s="68"/>
      <c r="E95" s="68"/>
      <c r="F95" s="68"/>
      <c r="G95" s="68"/>
      <c r="H95" s="68"/>
      <c r="I95" s="68"/>
    </row>
    <row r="96">
      <c r="A96" s="68"/>
      <c r="B96" s="68"/>
      <c r="C96" s="68"/>
      <c r="D96" s="68"/>
      <c r="E96" s="68"/>
      <c r="F96" s="68"/>
      <c r="G96" s="68"/>
      <c r="H96" s="68"/>
      <c r="I96" s="68"/>
    </row>
    <row r="97">
      <c r="A97" s="68"/>
      <c r="B97" s="68"/>
      <c r="C97" s="68"/>
      <c r="D97" s="68"/>
      <c r="E97" s="68"/>
      <c r="F97" s="68"/>
      <c r="G97" s="68"/>
      <c r="H97" s="68"/>
      <c r="I97" s="68"/>
    </row>
    <row r="98">
      <c r="A98" s="68"/>
      <c r="B98" s="68"/>
      <c r="C98" s="68"/>
      <c r="D98" s="68"/>
      <c r="E98" s="68"/>
      <c r="F98" s="68"/>
      <c r="G98" s="68"/>
      <c r="H98" s="68"/>
      <c r="I98" s="68"/>
    </row>
    <row r="99">
      <c r="A99" s="68"/>
      <c r="B99" s="68"/>
      <c r="C99" s="68"/>
      <c r="D99" s="68"/>
      <c r="E99" s="68"/>
      <c r="F99" s="68"/>
      <c r="G99" s="68"/>
      <c r="H99" s="68"/>
      <c r="I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</row>
    <row r="101">
      <c r="A101" s="68"/>
    </row>
    <row r="102">
      <c r="A102" s="68"/>
    </row>
    <row r="103">
      <c r="A103" s="68"/>
    </row>
    <row r="104">
      <c r="A104" s="68"/>
    </row>
    <row r="105">
      <c r="A105" s="68"/>
    </row>
    <row r="106">
      <c r="A106" s="68"/>
    </row>
    <row r="107">
      <c r="A107" s="68"/>
    </row>
    <row r="108">
      <c r="A108" s="68"/>
    </row>
    <row r="109">
      <c r="A109" s="68"/>
    </row>
    <row r="110">
      <c r="A110" s="68"/>
    </row>
    <row r="111">
      <c r="A111" s="68"/>
    </row>
    <row r="112">
      <c r="A112" s="68"/>
    </row>
    <row r="113">
      <c r="A113" s="68"/>
    </row>
    <row r="114">
      <c r="A114" s="68"/>
    </row>
    <row r="115">
      <c r="A115" s="68"/>
    </row>
    <row r="116">
      <c r="A116" s="68"/>
    </row>
    <row r="117">
      <c r="A117" s="68"/>
    </row>
    <row r="118">
      <c r="A118" s="68"/>
    </row>
    <row r="119">
      <c r="A119" s="115"/>
    </row>
    <row r="122">
      <c r="A122" s="115"/>
    </row>
    <row r="125">
      <c r="A125" s="68"/>
    </row>
    <row r="126">
      <c r="A126" s="68"/>
    </row>
    <row r="127">
      <c r="A127" s="68"/>
    </row>
    <row r="128">
      <c r="A128" s="68"/>
    </row>
    <row r="129">
      <c r="A129" s="68"/>
    </row>
    <row r="130">
      <c r="A130" s="68"/>
    </row>
    <row r="131">
      <c r="A131" s="68"/>
    </row>
    <row r="132">
      <c r="A132" s="68"/>
    </row>
    <row r="133">
      <c r="A133" s="68"/>
    </row>
    <row r="134">
      <c r="A134" s="68"/>
    </row>
    <row r="135">
      <c r="A135" s="68"/>
    </row>
    <row r="136">
      <c r="A136" s="68"/>
    </row>
    <row r="137">
      <c r="A137" s="68"/>
    </row>
    <row r="138">
      <c r="A138" s="68"/>
    </row>
    <row r="139">
      <c r="A139" s="68"/>
    </row>
    <row r="140">
      <c r="A140" s="68"/>
    </row>
    <row r="141">
      <c r="A141" s="68"/>
    </row>
    <row r="142">
      <c r="A142" s="68"/>
    </row>
    <row r="143">
      <c r="A143" s="68"/>
    </row>
    <row r="144">
      <c r="A144" s="68"/>
    </row>
    <row r="145">
      <c r="A145" s="68"/>
    </row>
    <row r="146">
      <c r="A146" s="68"/>
    </row>
    <row r="147">
      <c r="A147" s="68"/>
    </row>
    <row r="148">
      <c r="A148" s="68"/>
    </row>
    <row r="149">
      <c r="A149" s="68"/>
    </row>
    <row r="150">
      <c r="A150" s="68"/>
    </row>
    <row r="151">
      <c r="A151" s="68"/>
    </row>
    <row r="152">
      <c r="A152" s="68"/>
    </row>
    <row r="153">
      <c r="A153" s="68"/>
    </row>
    <row r="154">
      <c r="A154" s="68"/>
    </row>
    <row r="155">
      <c r="A155" s="68"/>
    </row>
    <row r="156">
      <c r="A156" s="68"/>
    </row>
    <row r="157">
      <c r="A157" s="68"/>
    </row>
    <row r="158">
      <c r="A158" s="68"/>
    </row>
    <row r="159">
      <c r="A159" s="68"/>
    </row>
    <row r="160">
      <c r="A160" s="68"/>
    </row>
    <row r="161">
      <c r="A161" s="68"/>
    </row>
    <row r="162">
      <c r="A162" s="68"/>
    </row>
    <row r="163">
      <c r="A163" s="68"/>
    </row>
    <row r="164">
      <c r="A164" s="68"/>
    </row>
    <row r="165">
      <c r="A165" s="68"/>
    </row>
    <row r="166">
      <c r="A166" s="68"/>
    </row>
    <row r="167">
      <c r="A167" s="68"/>
    </row>
    <row r="168">
      <c r="A168" s="68"/>
    </row>
    <row r="169">
      <c r="A169" s="68"/>
    </row>
    <row r="170">
      <c r="A170" s="68"/>
    </row>
    <row r="171">
      <c r="A171" s="68"/>
    </row>
    <row r="172">
      <c r="A172" s="68"/>
    </row>
    <row r="173">
      <c r="A173" s="68"/>
    </row>
    <row r="174">
      <c r="A174" s="68"/>
    </row>
    <row r="175">
      <c r="A175" s="68"/>
    </row>
    <row r="176">
      <c r="A176" s="68"/>
    </row>
    <row r="177">
      <c r="A177" s="68"/>
    </row>
    <row r="178">
      <c r="A178" s="68"/>
    </row>
    <row r="179">
      <c r="A179" s="68"/>
    </row>
    <row r="180">
      <c r="A180" s="68"/>
    </row>
    <row r="181">
      <c r="A181" s="68"/>
    </row>
    <row r="182">
      <c r="A182" s="68"/>
    </row>
    <row r="183">
      <c r="A183" s="68"/>
    </row>
    <row r="184">
      <c r="A184" s="68"/>
    </row>
    <row r="185">
      <c r="A185" s="68"/>
    </row>
    <row r="186">
      <c r="A186" s="68"/>
    </row>
    <row r="187">
      <c r="A187" s="68"/>
    </row>
    <row r="188">
      <c r="A188" s="68"/>
    </row>
    <row r="189">
      <c r="A189" s="68"/>
    </row>
    <row r="190">
      <c r="A190" s="68"/>
    </row>
    <row r="191">
      <c r="A191" s="68"/>
    </row>
    <row r="192">
      <c r="A192" s="68"/>
    </row>
    <row r="193">
      <c r="A193" s="68"/>
    </row>
    <row r="194">
      <c r="A194" s="68"/>
    </row>
    <row r="195">
      <c r="A195" s="68"/>
    </row>
    <row r="196">
      <c r="A196" s="68"/>
    </row>
    <row r="197">
      <c r="A197" s="68"/>
    </row>
    <row r="198">
      <c r="A198" s="68"/>
    </row>
    <row r="199">
      <c r="A199" s="68"/>
    </row>
    <row r="200">
      <c r="A200" s="68"/>
    </row>
    <row r="201">
      <c r="A201" s="68"/>
    </row>
    <row r="202">
      <c r="A202" s="68"/>
    </row>
    <row r="203">
      <c r="A203" s="68"/>
    </row>
    <row r="204">
      <c r="A204" s="68"/>
    </row>
    <row r="205">
      <c r="A205" s="68"/>
    </row>
    <row r="206">
      <c r="A206" s="68"/>
    </row>
    <row r="207">
      <c r="A207" s="68"/>
    </row>
    <row r="208">
      <c r="A208" s="68"/>
    </row>
    <row r="209">
      <c r="A209" s="68"/>
    </row>
    <row r="210">
      <c r="A210" s="68"/>
    </row>
    <row r="211">
      <c r="A211" s="68"/>
    </row>
    <row r="212">
      <c r="A212" s="68"/>
    </row>
    <row r="213">
      <c r="A213" s="68"/>
    </row>
    <row r="214">
      <c r="A214" s="68"/>
    </row>
    <row r="215">
      <c r="A215" s="68"/>
    </row>
    <row r="216">
      <c r="A216" s="68"/>
    </row>
    <row r="217">
      <c r="A217" s="68"/>
    </row>
    <row r="218">
      <c r="A218" s="68"/>
    </row>
    <row r="219">
      <c r="A219" s="68"/>
    </row>
    <row r="220">
      <c r="A220" s="68"/>
    </row>
    <row r="221">
      <c r="A221" s="68"/>
    </row>
    <row r="222">
      <c r="A222" s="68"/>
    </row>
    <row r="223">
      <c r="A223" s="68"/>
    </row>
    <row r="224">
      <c r="A224" s="68"/>
    </row>
    <row r="225">
      <c r="A225" s="68"/>
    </row>
    <row r="226">
      <c r="A226" s="68"/>
    </row>
    <row r="227">
      <c r="A227" s="68"/>
    </row>
    <row r="228">
      <c r="A228" s="68"/>
    </row>
    <row r="229">
      <c r="A229" s="68"/>
    </row>
    <row r="230">
      <c r="A230" s="68"/>
    </row>
    <row r="231">
      <c r="A231" s="68"/>
    </row>
    <row r="232">
      <c r="A232" s="68"/>
    </row>
    <row r="233">
      <c r="A233" s="68"/>
    </row>
    <row r="234">
      <c r="A234" s="68"/>
    </row>
    <row r="235">
      <c r="A235" s="68"/>
    </row>
    <row r="236">
      <c r="A236" s="68"/>
    </row>
    <row r="237">
      <c r="A237" s="68"/>
    </row>
    <row r="238">
      <c r="A238" s="68"/>
    </row>
    <row r="239">
      <c r="A239" s="68"/>
    </row>
    <row r="240">
      <c r="A240" s="68"/>
    </row>
    <row r="241">
      <c r="A241" s="68"/>
    </row>
    <row r="242">
      <c r="A242" s="68"/>
    </row>
    <row r="243">
      <c r="A243" s="68"/>
    </row>
    <row r="244">
      <c r="A244" s="68"/>
    </row>
    <row r="245">
      <c r="A245" s="68"/>
    </row>
    <row r="246">
      <c r="A246" s="68"/>
    </row>
    <row r="247">
      <c r="A247" s="68"/>
    </row>
    <row r="248">
      <c r="A248" s="68"/>
    </row>
    <row r="249">
      <c r="A249" s="68"/>
    </row>
    <row r="250">
      <c r="A250" s="68"/>
    </row>
    <row r="251">
      <c r="A251" s="68"/>
    </row>
    <row r="252">
      <c r="A252" s="68"/>
    </row>
    <row r="253">
      <c r="A253" s="68"/>
    </row>
    <row r="254">
      <c r="A254" s="68"/>
    </row>
    <row r="255">
      <c r="A255" s="68"/>
    </row>
    <row r="256">
      <c r="A256" s="68"/>
    </row>
    <row r="257">
      <c r="A257" s="68"/>
    </row>
    <row r="258">
      <c r="A258" s="68"/>
    </row>
    <row r="259">
      <c r="A259" s="68"/>
    </row>
    <row r="260">
      <c r="A260" s="68"/>
    </row>
    <row r="261">
      <c r="A261" s="68"/>
    </row>
    <row r="262">
      <c r="A262" s="68"/>
    </row>
    <row r="263">
      <c r="A263" s="68"/>
    </row>
    <row r="264">
      <c r="A264" s="68"/>
    </row>
    <row r="265">
      <c r="A265" s="68"/>
    </row>
    <row r="266">
      <c r="A266" s="68"/>
    </row>
    <row r="267">
      <c r="A267" s="68"/>
    </row>
    <row r="268">
      <c r="A268" s="68"/>
    </row>
    <row r="269">
      <c r="A269" s="68"/>
    </row>
    <row r="270">
      <c r="A270" s="68"/>
    </row>
    <row r="271">
      <c r="A271" s="68"/>
    </row>
    <row r="272">
      <c r="A272" s="68"/>
    </row>
    <row r="273">
      <c r="A273" s="68"/>
    </row>
    <row r="274">
      <c r="A274" s="68"/>
    </row>
    <row r="275">
      <c r="A275" s="68"/>
    </row>
    <row r="276">
      <c r="A276" s="68"/>
    </row>
    <row r="277">
      <c r="A277" s="68"/>
    </row>
    <row r="278">
      <c r="A278" s="68"/>
    </row>
    <row r="279">
      <c r="A279" s="68"/>
    </row>
    <row r="280">
      <c r="A280" s="68"/>
    </row>
    <row r="281">
      <c r="A281" s="68"/>
    </row>
    <row r="282">
      <c r="A282" s="68"/>
    </row>
    <row r="283">
      <c r="A283" s="68"/>
    </row>
    <row r="284">
      <c r="A284" s="68"/>
    </row>
    <row r="285">
      <c r="A285" s="68"/>
    </row>
    <row r="286">
      <c r="A286" s="68"/>
    </row>
    <row r="287">
      <c r="A287" s="68"/>
    </row>
    <row r="288">
      <c r="A288" s="68"/>
    </row>
    <row r="289">
      <c r="A289" s="68"/>
    </row>
    <row r="290">
      <c r="A290" s="68"/>
    </row>
    <row r="291">
      <c r="A291" s="68"/>
    </row>
    <row r="292">
      <c r="A292" s="68"/>
    </row>
    <row r="293">
      <c r="A293" s="68"/>
    </row>
    <row r="294">
      <c r="A294" s="68"/>
    </row>
    <row r="295">
      <c r="A295" s="68"/>
    </row>
    <row r="296">
      <c r="A296" s="68"/>
    </row>
    <row r="297">
      <c r="A297" s="68"/>
    </row>
    <row r="298">
      <c r="A298" s="68"/>
    </row>
    <row r="299">
      <c r="A299" s="68"/>
    </row>
    <row r="300">
      <c r="A300" s="68"/>
    </row>
    <row r="301">
      <c r="A301" s="68"/>
    </row>
    <row r="302">
      <c r="A302" s="68"/>
    </row>
    <row r="303">
      <c r="A303" s="68"/>
    </row>
    <row r="304">
      <c r="A304" s="68"/>
    </row>
    <row r="305">
      <c r="A305" s="68"/>
    </row>
    <row r="306">
      <c r="A306" s="68"/>
    </row>
    <row r="307">
      <c r="A307" s="68"/>
    </row>
    <row r="308">
      <c r="A308" s="68"/>
    </row>
    <row r="309">
      <c r="A309" s="68"/>
    </row>
    <row r="310">
      <c r="A310" s="68"/>
    </row>
    <row r="311">
      <c r="A311" s="68"/>
    </row>
    <row r="312">
      <c r="A312" s="68"/>
    </row>
    <row r="313">
      <c r="A313" s="68"/>
    </row>
    <row r="314">
      <c r="A314" s="68"/>
    </row>
    <row r="315">
      <c r="A315" s="68"/>
    </row>
    <row r="316">
      <c r="A316" s="68"/>
    </row>
    <row r="317">
      <c r="A317" s="68"/>
    </row>
    <row r="318">
      <c r="A318" s="68"/>
    </row>
    <row r="319">
      <c r="A319" s="68"/>
    </row>
    <row r="320">
      <c r="A320" s="68"/>
    </row>
    <row r="321">
      <c r="A321" s="68"/>
    </row>
    <row r="322">
      <c r="A322" s="68"/>
    </row>
    <row r="323">
      <c r="A323" s="68"/>
    </row>
    <row r="324">
      <c r="A324" s="68"/>
    </row>
    <row r="325">
      <c r="A325" s="68"/>
    </row>
    <row r="326">
      <c r="A326" s="68"/>
    </row>
    <row r="327">
      <c r="A327" s="68"/>
    </row>
    <row r="328">
      <c r="A328" s="68"/>
    </row>
    <row r="329">
      <c r="A329" s="68"/>
    </row>
    <row r="330">
      <c r="A330" s="68"/>
    </row>
    <row r="331">
      <c r="A331" s="68"/>
    </row>
    <row r="332">
      <c r="A332" s="68"/>
    </row>
    <row r="333">
      <c r="A333" s="68"/>
    </row>
    <row r="334">
      <c r="A334" s="68"/>
    </row>
    <row r="335">
      <c r="A335" s="68"/>
    </row>
    <row r="336">
      <c r="A336" s="68"/>
    </row>
    <row r="337">
      <c r="A337" s="68"/>
    </row>
    <row r="338">
      <c r="A338" s="68"/>
    </row>
    <row r="339">
      <c r="A339" s="68"/>
    </row>
    <row r="340">
      <c r="A340" s="68"/>
    </row>
    <row r="341">
      <c r="A341" s="68"/>
    </row>
    <row r="342">
      <c r="A342" s="68"/>
    </row>
    <row r="343">
      <c r="A343" s="68"/>
    </row>
    <row r="344">
      <c r="A344" s="68"/>
    </row>
    <row r="345">
      <c r="A345" s="68"/>
    </row>
    <row r="346">
      <c r="A346" s="68"/>
    </row>
    <row r="347">
      <c r="A347" s="68"/>
    </row>
    <row r="348">
      <c r="A348" s="68"/>
    </row>
    <row r="349">
      <c r="A349" s="68"/>
    </row>
    <row r="350">
      <c r="A350" s="68"/>
    </row>
    <row r="351">
      <c r="A351" s="68"/>
    </row>
    <row r="352">
      <c r="A352" s="68"/>
    </row>
    <row r="353">
      <c r="A353" s="68"/>
    </row>
    <row r="354">
      <c r="A354" s="68"/>
    </row>
    <row r="355">
      <c r="A355" s="68"/>
    </row>
    <row r="356">
      <c r="A356" s="68"/>
    </row>
    <row r="357">
      <c r="A357" s="68"/>
    </row>
    <row r="358">
      <c r="A358" s="68"/>
    </row>
    <row r="359">
      <c r="A359" s="68"/>
    </row>
    <row r="360">
      <c r="A360" s="68"/>
    </row>
    <row r="361">
      <c r="A361" s="68"/>
    </row>
    <row r="362">
      <c r="A362" s="68"/>
    </row>
    <row r="363">
      <c r="A363" s="68"/>
    </row>
    <row r="364">
      <c r="A364" s="68"/>
    </row>
    <row r="365">
      <c r="A365" s="68"/>
    </row>
    <row r="366">
      <c r="A366" s="68"/>
    </row>
    <row r="367">
      <c r="A367" s="68"/>
    </row>
    <row r="368">
      <c r="A368" s="68"/>
    </row>
    <row r="369">
      <c r="A369" s="68"/>
    </row>
    <row r="370">
      <c r="A370" s="68"/>
    </row>
    <row r="371">
      <c r="A371" s="68"/>
    </row>
    <row r="372">
      <c r="A372" s="68"/>
    </row>
    <row r="373">
      <c r="A373" s="68"/>
    </row>
    <row r="374">
      <c r="A374" s="68"/>
    </row>
    <row r="375">
      <c r="A375" s="68"/>
    </row>
    <row r="376">
      <c r="A376" s="68"/>
    </row>
    <row r="377">
      <c r="A377" s="68"/>
    </row>
    <row r="378">
      <c r="A378" s="68"/>
    </row>
    <row r="379">
      <c r="A379" s="68"/>
    </row>
    <row r="380">
      <c r="A380" s="68"/>
    </row>
    <row r="381">
      <c r="A381" s="68"/>
    </row>
    <row r="382">
      <c r="A382" s="68"/>
    </row>
    <row r="383">
      <c r="A383" s="68"/>
    </row>
    <row r="384">
      <c r="A384" s="68"/>
    </row>
    <row r="385">
      <c r="A385" s="68"/>
    </row>
    <row r="386">
      <c r="A386" s="68"/>
    </row>
    <row r="387">
      <c r="A387" s="68"/>
    </row>
    <row r="388">
      <c r="A388" s="68"/>
    </row>
    <row r="389">
      <c r="A389" s="68"/>
    </row>
    <row r="390">
      <c r="A390" s="68"/>
    </row>
    <row r="391">
      <c r="A391" s="68"/>
    </row>
    <row r="392">
      <c r="A392" s="68"/>
    </row>
    <row r="393">
      <c r="A393" s="68"/>
    </row>
    <row r="394">
      <c r="A394" s="68"/>
    </row>
    <row r="395">
      <c r="A395" s="68"/>
    </row>
    <row r="396">
      <c r="A396" s="68"/>
    </row>
    <row r="397">
      <c r="A397" s="68"/>
    </row>
    <row r="398">
      <c r="A398" s="68"/>
    </row>
    <row r="399">
      <c r="A399" s="68"/>
    </row>
    <row r="400">
      <c r="A400" s="68"/>
    </row>
    <row r="401">
      <c r="A401" s="68"/>
    </row>
    <row r="402">
      <c r="A402" s="68"/>
    </row>
    <row r="403">
      <c r="A403" s="68"/>
    </row>
    <row r="404">
      <c r="A404" s="68"/>
    </row>
    <row r="405">
      <c r="A405" s="68"/>
    </row>
    <row r="406">
      <c r="A406" s="68"/>
    </row>
    <row r="407">
      <c r="A407" s="68"/>
    </row>
    <row r="408">
      <c r="A408" s="68"/>
    </row>
    <row r="409">
      <c r="A409" s="68"/>
    </row>
    <row r="410">
      <c r="A410" s="68"/>
    </row>
    <row r="411">
      <c r="A411" s="68"/>
    </row>
    <row r="412">
      <c r="A412" s="68"/>
    </row>
    <row r="413">
      <c r="A413" s="68"/>
    </row>
    <row r="414">
      <c r="A414" s="68"/>
    </row>
    <row r="415">
      <c r="A415" s="68"/>
    </row>
    <row r="416">
      <c r="A416" s="68"/>
    </row>
    <row r="417">
      <c r="A417" s="68"/>
    </row>
    <row r="418">
      <c r="A418" s="68"/>
    </row>
    <row r="419">
      <c r="A419" s="68"/>
    </row>
    <row r="420">
      <c r="A420" s="68"/>
    </row>
    <row r="421">
      <c r="A421" s="68"/>
    </row>
    <row r="422">
      <c r="A422" s="68"/>
    </row>
    <row r="423">
      <c r="A423" s="68"/>
    </row>
    <row r="424">
      <c r="A424" s="68"/>
    </row>
    <row r="425">
      <c r="A425" s="68"/>
    </row>
    <row r="426">
      <c r="A426" s="68"/>
    </row>
    <row r="427">
      <c r="A427" s="68"/>
    </row>
    <row r="428">
      <c r="A428" s="68"/>
    </row>
    <row r="429">
      <c r="A429" s="68"/>
    </row>
    <row r="430">
      <c r="A430" s="68"/>
    </row>
    <row r="431">
      <c r="A431" s="68"/>
    </row>
    <row r="432">
      <c r="A432" s="68"/>
    </row>
    <row r="433">
      <c r="A433" s="68"/>
    </row>
    <row r="434">
      <c r="A434" s="68"/>
    </row>
    <row r="435">
      <c r="A435" s="68"/>
    </row>
    <row r="436">
      <c r="A436" s="68"/>
    </row>
    <row r="437">
      <c r="A437" s="68"/>
    </row>
    <row r="438">
      <c r="A438" s="68"/>
    </row>
    <row r="439">
      <c r="A439" s="68"/>
    </row>
    <row r="440">
      <c r="A440" s="68"/>
    </row>
    <row r="441">
      <c r="A441" s="68"/>
    </row>
    <row r="442">
      <c r="A442" s="68"/>
    </row>
    <row r="443">
      <c r="A443" s="68"/>
    </row>
    <row r="444">
      <c r="A444" s="68"/>
    </row>
    <row r="445">
      <c r="A445" s="68"/>
    </row>
    <row r="446">
      <c r="A446" s="68"/>
    </row>
    <row r="447">
      <c r="A447" s="68"/>
    </row>
    <row r="448">
      <c r="A448" s="68"/>
    </row>
    <row r="449">
      <c r="A449" s="68"/>
    </row>
    <row r="450">
      <c r="A450" s="68"/>
    </row>
    <row r="451">
      <c r="A451" s="68"/>
    </row>
    <row r="452">
      <c r="A452" s="68"/>
    </row>
    <row r="453">
      <c r="A453" s="68"/>
    </row>
    <row r="454">
      <c r="A454" s="68"/>
    </row>
    <row r="455">
      <c r="A455" s="68"/>
    </row>
    <row r="456">
      <c r="A456" s="68"/>
    </row>
    <row r="457">
      <c r="A457" s="68"/>
    </row>
    <row r="458">
      <c r="A458" s="68"/>
    </row>
    <row r="459">
      <c r="A459" s="68"/>
    </row>
    <row r="460">
      <c r="A460" s="68"/>
    </row>
    <row r="461">
      <c r="A461" s="68"/>
    </row>
    <row r="462">
      <c r="A462" s="68"/>
    </row>
    <row r="463">
      <c r="A463" s="68"/>
    </row>
    <row r="464">
      <c r="A464" s="68"/>
    </row>
    <row r="465">
      <c r="A465" s="68"/>
    </row>
    <row r="466">
      <c r="A466" s="68"/>
    </row>
    <row r="467">
      <c r="A467" s="68"/>
    </row>
    <row r="468">
      <c r="A468" s="68"/>
    </row>
    <row r="469">
      <c r="A469" s="68"/>
    </row>
    <row r="470">
      <c r="A470" s="68"/>
    </row>
    <row r="471">
      <c r="A471" s="68"/>
    </row>
    <row r="472">
      <c r="A472" s="68"/>
    </row>
    <row r="473">
      <c r="A473" s="68"/>
    </row>
    <row r="474">
      <c r="A474" s="68"/>
    </row>
    <row r="475">
      <c r="A475" s="68"/>
    </row>
    <row r="476">
      <c r="A476" s="68"/>
    </row>
    <row r="477">
      <c r="A477" s="68"/>
    </row>
    <row r="478">
      <c r="A478" s="68"/>
    </row>
    <row r="479">
      <c r="A479" s="68"/>
    </row>
    <row r="480">
      <c r="A480" s="68"/>
    </row>
    <row r="481">
      <c r="A481" s="68"/>
    </row>
    <row r="482">
      <c r="A482" s="68"/>
    </row>
    <row r="483">
      <c r="A483" s="68"/>
    </row>
    <row r="484">
      <c r="A484" s="68"/>
    </row>
    <row r="485">
      <c r="A485" s="68"/>
    </row>
    <row r="486">
      <c r="A486" s="68"/>
    </row>
    <row r="487">
      <c r="A487" s="68"/>
    </row>
    <row r="488">
      <c r="A488" s="68"/>
    </row>
    <row r="489">
      <c r="A489" s="68"/>
    </row>
    <row r="490">
      <c r="A490" s="68"/>
    </row>
    <row r="491">
      <c r="A491" s="68"/>
    </row>
    <row r="492">
      <c r="A492" s="68"/>
    </row>
    <row r="493">
      <c r="A493" s="68"/>
    </row>
    <row r="494">
      <c r="A494" s="68"/>
    </row>
    <row r="495">
      <c r="A495" s="68"/>
    </row>
    <row r="496">
      <c r="A496" s="68"/>
    </row>
    <row r="497">
      <c r="A497" s="68"/>
    </row>
    <row r="498">
      <c r="A498" s="68"/>
    </row>
    <row r="499">
      <c r="A499" s="68"/>
    </row>
    <row r="500">
      <c r="A500" s="68"/>
    </row>
    <row r="501">
      <c r="A501" s="68"/>
    </row>
    <row r="502">
      <c r="A502" s="68"/>
    </row>
    <row r="503">
      <c r="A503" s="68"/>
    </row>
    <row r="504">
      <c r="A504" s="68"/>
    </row>
    <row r="505">
      <c r="A505" s="68"/>
    </row>
    <row r="506">
      <c r="A506" s="68"/>
    </row>
    <row r="507">
      <c r="A507" s="68"/>
    </row>
    <row r="508">
      <c r="A508" s="68"/>
    </row>
    <row r="509">
      <c r="A509" s="68"/>
    </row>
    <row r="510">
      <c r="A510" s="68"/>
    </row>
    <row r="511">
      <c r="A511" s="68"/>
    </row>
    <row r="512">
      <c r="A512" s="68"/>
    </row>
    <row r="513">
      <c r="A513" s="68"/>
    </row>
    <row r="514">
      <c r="A514" s="68"/>
    </row>
    <row r="515">
      <c r="A515" s="68"/>
    </row>
    <row r="516">
      <c r="A516" s="68"/>
    </row>
    <row r="517">
      <c r="A517" s="68"/>
    </row>
    <row r="518">
      <c r="A518" s="68"/>
    </row>
    <row r="519">
      <c r="A519" s="68"/>
    </row>
    <row r="520">
      <c r="A520" s="68"/>
    </row>
    <row r="521">
      <c r="A521" s="68"/>
    </row>
    <row r="522">
      <c r="A522" s="68"/>
    </row>
    <row r="523">
      <c r="A523" s="68"/>
    </row>
    <row r="524">
      <c r="A524" s="68"/>
    </row>
    <row r="525">
      <c r="A525" s="68"/>
    </row>
    <row r="526">
      <c r="A526" s="68"/>
    </row>
    <row r="527">
      <c r="A527" s="68"/>
    </row>
    <row r="528">
      <c r="A528" s="68"/>
    </row>
    <row r="529">
      <c r="A529" s="68"/>
    </row>
    <row r="530">
      <c r="A530" s="68"/>
    </row>
    <row r="531">
      <c r="A531" s="68"/>
    </row>
    <row r="532">
      <c r="A532" s="68"/>
    </row>
    <row r="533">
      <c r="A533" s="68"/>
    </row>
    <row r="534">
      <c r="A534" s="68"/>
    </row>
    <row r="535">
      <c r="A535" s="68"/>
    </row>
    <row r="536">
      <c r="A536" s="68"/>
    </row>
    <row r="537">
      <c r="A537" s="68"/>
    </row>
    <row r="538">
      <c r="A538" s="68"/>
    </row>
    <row r="539">
      <c r="A539" s="68"/>
    </row>
    <row r="540">
      <c r="A540" s="68"/>
    </row>
    <row r="541">
      <c r="A541" s="68"/>
    </row>
    <row r="542">
      <c r="A542" s="68"/>
    </row>
    <row r="543">
      <c r="A543" s="68"/>
    </row>
    <row r="544">
      <c r="A544" s="68"/>
    </row>
    <row r="545">
      <c r="A545" s="68"/>
    </row>
    <row r="546">
      <c r="A546" s="68"/>
    </row>
    <row r="547">
      <c r="A547" s="68"/>
    </row>
    <row r="548">
      <c r="A548" s="68"/>
    </row>
    <row r="549">
      <c r="A549" s="68"/>
    </row>
    <row r="550">
      <c r="A550" s="68"/>
    </row>
    <row r="551">
      <c r="A551" s="68"/>
    </row>
    <row r="552">
      <c r="A552" s="68"/>
    </row>
    <row r="553">
      <c r="A553" s="68"/>
    </row>
    <row r="554">
      <c r="A554" s="68"/>
    </row>
    <row r="555">
      <c r="A555" s="68"/>
    </row>
    <row r="556">
      <c r="A556" s="68"/>
    </row>
    <row r="557">
      <c r="A557" s="68"/>
    </row>
    <row r="558">
      <c r="A558" s="68"/>
    </row>
    <row r="559">
      <c r="A559" s="68"/>
    </row>
    <row r="560">
      <c r="A560" s="68"/>
    </row>
    <row r="561">
      <c r="A561" s="68"/>
    </row>
    <row r="562">
      <c r="A562" s="68"/>
    </row>
    <row r="563">
      <c r="A563" s="68"/>
    </row>
    <row r="564">
      <c r="A564" s="68"/>
    </row>
    <row r="565">
      <c r="A565" s="68"/>
    </row>
    <row r="566">
      <c r="A566" s="68"/>
    </row>
    <row r="567">
      <c r="A567" s="68"/>
    </row>
    <row r="568">
      <c r="A568" s="68"/>
    </row>
    <row r="569">
      <c r="A569" s="68"/>
    </row>
    <row r="570">
      <c r="A570" s="68"/>
    </row>
    <row r="571">
      <c r="A571" s="68"/>
    </row>
    <row r="572">
      <c r="A572" s="68"/>
    </row>
    <row r="573">
      <c r="A573" s="68"/>
    </row>
    <row r="574">
      <c r="A574" s="68"/>
    </row>
    <row r="575">
      <c r="A575" s="68"/>
    </row>
    <row r="576">
      <c r="A576" s="68"/>
    </row>
    <row r="577">
      <c r="A577" s="68"/>
    </row>
    <row r="578">
      <c r="A578" s="68"/>
    </row>
    <row r="579">
      <c r="A579" s="68"/>
    </row>
    <row r="580">
      <c r="A580" s="68"/>
    </row>
    <row r="581">
      <c r="A581" s="68"/>
    </row>
    <row r="582">
      <c r="A582" s="68"/>
    </row>
    <row r="583">
      <c r="A583" s="68"/>
    </row>
    <row r="584">
      <c r="A584" s="68"/>
    </row>
    <row r="585">
      <c r="A585" s="68"/>
    </row>
    <row r="586">
      <c r="A586" s="68"/>
    </row>
    <row r="587">
      <c r="A587" s="68"/>
    </row>
    <row r="588">
      <c r="A588" s="68"/>
    </row>
    <row r="589">
      <c r="A589" s="68"/>
    </row>
    <row r="590">
      <c r="A590" s="68"/>
    </row>
    <row r="591">
      <c r="A591" s="68"/>
    </row>
    <row r="592">
      <c r="A592" s="68"/>
    </row>
    <row r="593">
      <c r="A593" s="68"/>
    </row>
    <row r="594">
      <c r="A594" s="68"/>
    </row>
    <row r="595">
      <c r="A595" s="68"/>
    </row>
    <row r="596">
      <c r="A596" s="68"/>
    </row>
    <row r="597">
      <c r="A597" s="68"/>
    </row>
    <row r="598">
      <c r="A598" s="68"/>
    </row>
    <row r="599">
      <c r="A599" s="68"/>
    </row>
    <row r="600">
      <c r="A600" s="68"/>
    </row>
    <row r="601">
      <c r="A601" s="68"/>
    </row>
    <row r="602">
      <c r="A602" s="68"/>
    </row>
    <row r="603">
      <c r="A603" s="68"/>
    </row>
    <row r="604">
      <c r="A604" s="68"/>
    </row>
    <row r="605">
      <c r="A605" s="68"/>
    </row>
    <row r="606">
      <c r="A606" s="68"/>
    </row>
    <row r="607">
      <c r="A607" s="68"/>
    </row>
    <row r="608">
      <c r="A608" s="68"/>
    </row>
    <row r="609">
      <c r="A609" s="68"/>
    </row>
    <row r="610">
      <c r="A610" s="68"/>
    </row>
    <row r="611">
      <c r="A611" s="68"/>
    </row>
    <row r="612">
      <c r="A612" s="68"/>
    </row>
    <row r="613">
      <c r="A613" s="68"/>
    </row>
    <row r="614">
      <c r="A614" s="68"/>
    </row>
    <row r="615">
      <c r="A615" s="68"/>
    </row>
    <row r="616">
      <c r="A616" s="68"/>
    </row>
    <row r="617">
      <c r="A617" s="68"/>
    </row>
    <row r="618">
      <c r="A618" s="68"/>
    </row>
    <row r="619">
      <c r="A619" s="68"/>
    </row>
    <row r="620">
      <c r="A620" s="68"/>
    </row>
    <row r="621">
      <c r="A621" s="68"/>
    </row>
    <row r="622">
      <c r="A622" s="68"/>
    </row>
    <row r="623">
      <c r="A623" s="68"/>
    </row>
    <row r="624">
      <c r="A624" s="68"/>
    </row>
    <row r="625">
      <c r="A625" s="68"/>
    </row>
    <row r="626">
      <c r="A626" s="68"/>
    </row>
    <row r="627">
      <c r="A627" s="68"/>
    </row>
    <row r="628">
      <c r="A628" s="68"/>
    </row>
    <row r="629">
      <c r="A629" s="68"/>
    </row>
    <row r="630">
      <c r="A630" s="68"/>
    </row>
    <row r="631">
      <c r="A631" s="68"/>
    </row>
    <row r="632">
      <c r="A632" s="68"/>
    </row>
    <row r="633">
      <c r="A633" s="68"/>
    </row>
    <row r="634">
      <c r="A634" s="68"/>
    </row>
    <row r="635">
      <c r="A635" s="68"/>
    </row>
    <row r="636">
      <c r="A636" s="68"/>
    </row>
    <row r="637">
      <c r="A637" s="68"/>
    </row>
    <row r="638">
      <c r="A638" s="68"/>
    </row>
    <row r="639">
      <c r="A639" s="68"/>
    </row>
    <row r="640">
      <c r="A640" s="68"/>
    </row>
    <row r="641">
      <c r="A641" s="68"/>
    </row>
    <row r="642">
      <c r="A642" s="68"/>
    </row>
    <row r="643">
      <c r="A643" s="68"/>
    </row>
    <row r="644">
      <c r="A644" s="68"/>
    </row>
    <row r="645">
      <c r="A645" s="68"/>
    </row>
    <row r="646">
      <c r="A646" s="68"/>
    </row>
    <row r="647">
      <c r="A647" s="68"/>
    </row>
    <row r="648">
      <c r="A648" s="68"/>
    </row>
    <row r="649">
      <c r="A649" s="68"/>
    </row>
    <row r="650">
      <c r="A650" s="68"/>
    </row>
    <row r="651">
      <c r="A651" s="68"/>
    </row>
    <row r="652">
      <c r="A652" s="68"/>
    </row>
    <row r="653">
      <c r="A653" s="68"/>
    </row>
    <row r="654">
      <c r="A654" s="68"/>
    </row>
    <row r="655">
      <c r="A655" s="68"/>
    </row>
    <row r="656">
      <c r="A656" s="68"/>
    </row>
    <row r="657">
      <c r="A657" s="68"/>
    </row>
    <row r="658">
      <c r="A658" s="68"/>
    </row>
    <row r="659">
      <c r="A659" s="68"/>
    </row>
    <row r="660">
      <c r="A660" s="68"/>
    </row>
    <row r="661">
      <c r="A661" s="68"/>
    </row>
    <row r="662">
      <c r="A662" s="68"/>
    </row>
    <row r="663">
      <c r="A663" s="68"/>
    </row>
    <row r="664">
      <c r="A664" s="68"/>
    </row>
    <row r="665">
      <c r="A665" s="68"/>
    </row>
    <row r="666">
      <c r="A666" s="68"/>
    </row>
    <row r="667">
      <c r="A667" s="68"/>
    </row>
    <row r="668">
      <c r="A668" s="68"/>
    </row>
    <row r="669">
      <c r="A669" s="68"/>
    </row>
    <row r="670">
      <c r="A670" s="68"/>
    </row>
    <row r="671">
      <c r="A671" s="68"/>
    </row>
    <row r="672">
      <c r="A672" s="68"/>
    </row>
    <row r="673">
      <c r="A673" s="68"/>
    </row>
    <row r="674">
      <c r="A674" s="68"/>
    </row>
    <row r="675">
      <c r="A675" s="68"/>
    </row>
    <row r="676">
      <c r="A676" s="68"/>
    </row>
    <row r="677">
      <c r="A677" s="68"/>
    </row>
    <row r="678">
      <c r="A678" s="68"/>
    </row>
    <row r="679">
      <c r="A679" s="68"/>
    </row>
    <row r="680">
      <c r="A680" s="68"/>
    </row>
    <row r="681">
      <c r="A681" s="68"/>
    </row>
    <row r="682">
      <c r="A682" s="68"/>
    </row>
    <row r="683">
      <c r="A683" s="68"/>
    </row>
    <row r="684">
      <c r="A684" s="68"/>
    </row>
    <row r="685">
      <c r="A685" s="68"/>
    </row>
    <row r="686">
      <c r="A686" s="68"/>
    </row>
    <row r="687">
      <c r="A687" s="68"/>
    </row>
    <row r="688">
      <c r="A688" s="68"/>
    </row>
    <row r="689">
      <c r="A689" s="68"/>
    </row>
    <row r="690">
      <c r="A690" s="68"/>
    </row>
    <row r="691">
      <c r="A691" s="68"/>
    </row>
    <row r="692">
      <c r="A692" s="68"/>
    </row>
    <row r="693">
      <c r="A693" s="68"/>
    </row>
    <row r="694">
      <c r="A694" s="68"/>
    </row>
    <row r="695">
      <c r="A695" s="68"/>
    </row>
    <row r="696">
      <c r="A696" s="68"/>
    </row>
    <row r="697">
      <c r="A697" s="68"/>
    </row>
    <row r="698">
      <c r="A698" s="68"/>
    </row>
    <row r="699">
      <c r="A699" s="68"/>
    </row>
    <row r="700">
      <c r="A700" s="68"/>
    </row>
    <row r="701">
      <c r="A701" s="68"/>
    </row>
    <row r="702">
      <c r="A702" s="68"/>
    </row>
    <row r="703">
      <c r="A703" s="68"/>
    </row>
    <row r="704">
      <c r="A704" s="68"/>
    </row>
    <row r="705">
      <c r="A705" s="68"/>
    </row>
    <row r="706">
      <c r="A706" s="68"/>
    </row>
    <row r="707">
      <c r="A707" s="68"/>
    </row>
    <row r="708">
      <c r="A708" s="68"/>
    </row>
    <row r="709">
      <c r="A709" s="68"/>
    </row>
    <row r="710">
      <c r="A710" s="68"/>
    </row>
    <row r="711">
      <c r="A711" s="68"/>
    </row>
    <row r="712">
      <c r="A712" s="68"/>
    </row>
    <row r="713">
      <c r="A713" s="68"/>
    </row>
    <row r="714">
      <c r="A714" s="68"/>
    </row>
    <row r="715">
      <c r="A715" s="68"/>
    </row>
    <row r="716">
      <c r="A716" s="68"/>
    </row>
    <row r="717">
      <c r="A717" s="68"/>
    </row>
    <row r="718">
      <c r="A718" s="68"/>
    </row>
    <row r="719">
      <c r="A719" s="68"/>
    </row>
    <row r="720">
      <c r="A720" s="68"/>
    </row>
    <row r="721">
      <c r="A721" s="68"/>
    </row>
    <row r="722">
      <c r="A722" s="68"/>
    </row>
    <row r="723">
      <c r="A723" s="68"/>
    </row>
    <row r="724">
      <c r="A724" s="68"/>
    </row>
    <row r="725">
      <c r="A725" s="68"/>
    </row>
    <row r="726">
      <c r="A726" s="68"/>
    </row>
    <row r="727">
      <c r="A727" s="68"/>
    </row>
    <row r="728">
      <c r="A728" s="68"/>
    </row>
    <row r="729">
      <c r="A729" s="68"/>
    </row>
    <row r="730">
      <c r="A730" s="68"/>
    </row>
    <row r="731">
      <c r="A731" s="68"/>
    </row>
    <row r="732">
      <c r="A732" s="68"/>
    </row>
    <row r="733">
      <c r="A733" s="68"/>
    </row>
    <row r="734">
      <c r="A734" s="68"/>
    </row>
    <row r="735">
      <c r="A735" s="68"/>
    </row>
    <row r="736">
      <c r="A736" s="68"/>
    </row>
    <row r="737">
      <c r="A737" s="68"/>
    </row>
    <row r="738">
      <c r="A738" s="68"/>
    </row>
    <row r="739">
      <c r="A739" s="68"/>
    </row>
    <row r="740">
      <c r="A740" s="68"/>
    </row>
    <row r="741">
      <c r="A741" s="68"/>
    </row>
    <row r="742">
      <c r="A742" s="68"/>
    </row>
    <row r="743">
      <c r="A743" s="68"/>
    </row>
    <row r="744">
      <c r="A744" s="68"/>
    </row>
    <row r="745">
      <c r="A745" s="68"/>
    </row>
    <row r="746">
      <c r="A746" s="68"/>
    </row>
    <row r="747">
      <c r="A747" s="68"/>
    </row>
    <row r="748">
      <c r="A748" s="68"/>
    </row>
    <row r="749">
      <c r="A749" s="68"/>
    </row>
    <row r="750">
      <c r="A750" s="68"/>
    </row>
    <row r="751">
      <c r="A751" s="68"/>
    </row>
    <row r="752">
      <c r="A752" s="68"/>
    </row>
    <row r="753">
      <c r="A753" s="68"/>
    </row>
    <row r="754">
      <c r="A754" s="68"/>
    </row>
    <row r="755">
      <c r="A755" s="68"/>
    </row>
    <row r="756">
      <c r="A756" s="68"/>
    </row>
    <row r="757">
      <c r="A757" s="68"/>
    </row>
    <row r="758">
      <c r="A758" s="68"/>
    </row>
    <row r="759">
      <c r="A759" s="68"/>
    </row>
    <row r="760">
      <c r="A760" s="68"/>
    </row>
    <row r="761">
      <c r="A761" s="68"/>
    </row>
    <row r="762">
      <c r="A762" s="68"/>
    </row>
    <row r="763">
      <c r="A763" s="68"/>
    </row>
    <row r="764">
      <c r="A764" s="68"/>
    </row>
    <row r="765">
      <c r="A765" s="68"/>
    </row>
    <row r="766">
      <c r="A766" s="68"/>
    </row>
    <row r="767">
      <c r="A767" s="68"/>
    </row>
    <row r="768">
      <c r="A768" s="68"/>
    </row>
    <row r="769">
      <c r="A769" s="68"/>
    </row>
    <row r="770">
      <c r="A770" s="68"/>
    </row>
    <row r="771">
      <c r="A771" s="68"/>
    </row>
    <row r="772">
      <c r="A772" s="68"/>
    </row>
    <row r="773">
      <c r="A773" s="68"/>
    </row>
    <row r="774">
      <c r="A774" s="68"/>
    </row>
    <row r="775">
      <c r="A775" s="68"/>
    </row>
    <row r="776">
      <c r="A776" s="68"/>
    </row>
    <row r="777">
      <c r="A777" s="68"/>
    </row>
    <row r="778">
      <c r="A778" s="68"/>
    </row>
    <row r="779">
      <c r="A779" s="68"/>
    </row>
    <row r="780">
      <c r="A780" s="68"/>
    </row>
    <row r="781">
      <c r="A781" s="68"/>
    </row>
    <row r="782">
      <c r="A782" s="68"/>
    </row>
    <row r="783">
      <c r="A783" s="68"/>
    </row>
    <row r="784">
      <c r="A784" s="68"/>
    </row>
    <row r="785">
      <c r="A785" s="68"/>
    </row>
    <row r="786">
      <c r="A786" s="68"/>
    </row>
    <row r="787">
      <c r="A787" s="68"/>
    </row>
    <row r="788">
      <c r="A788" s="68"/>
    </row>
    <row r="789">
      <c r="A789" s="68"/>
    </row>
    <row r="790">
      <c r="A790" s="68"/>
    </row>
    <row r="791">
      <c r="A791" s="68"/>
    </row>
    <row r="792">
      <c r="A792" s="68"/>
    </row>
    <row r="793">
      <c r="A793" s="68"/>
    </row>
    <row r="794">
      <c r="A794" s="68"/>
    </row>
    <row r="795">
      <c r="A795" s="68"/>
    </row>
    <row r="796">
      <c r="A796" s="68"/>
    </row>
    <row r="797">
      <c r="A797" s="68"/>
    </row>
    <row r="798">
      <c r="A798" s="68"/>
    </row>
    <row r="799">
      <c r="A799" s="68"/>
    </row>
    <row r="800">
      <c r="A800" s="68"/>
    </row>
    <row r="801">
      <c r="A801" s="68"/>
    </row>
    <row r="802">
      <c r="A802" s="68"/>
    </row>
    <row r="803">
      <c r="A803" s="68"/>
    </row>
    <row r="804">
      <c r="A804" s="68"/>
    </row>
    <row r="805">
      <c r="A805" s="68"/>
    </row>
    <row r="806">
      <c r="A806" s="68"/>
    </row>
    <row r="807">
      <c r="A807" s="68"/>
    </row>
    <row r="808">
      <c r="A808" s="68"/>
    </row>
    <row r="809">
      <c r="A809" s="68"/>
    </row>
    <row r="810">
      <c r="A810" s="68"/>
    </row>
    <row r="811">
      <c r="A811" s="68"/>
    </row>
    <row r="812">
      <c r="A812" s="68"/>
    </row>
    <row r="813">
      <c r="A813" s="68"/>
    </row>
    <row r="814">
      <c r="A814" s="68"/>
    </row>
    <row r="815">
      <c r="A815" s="68"/>
    </row>
    <row r="816">
      <c r="A816" s="68"/>
    </row>
    <row r="817">
      <c r="A817" s="68"/>
    </row>
    <row r="818">
      <c r="A818" s="68"/>
    </row>
    <row r="819">
      <c r="A819" s="68"/>
    </row>
    <row r="820">
      <c r="A820" s="68"/>
    </row>
    <row r="821">
      <c r="A821" s="68"/>
    </row>
    <row r="822">
      <c r="A822" s="68"/>
    </row>
    <row r="823">
      <c r="A823" s="68"/>
    </row>
    <row r="824">
      <c r="A824" s="68"/>
    </row>
    <row r="825">
      <c r="A825" s="68"/>
    </row>
    <row r="826">
      <c r="A826" s="68"/>
    </row>
    <row r="827">
      <c r="A827" s="68"/>
    </row>
    <row r="828">
      <c r="A828" s="68"/>
    </row>
    <row r="829">
      <c r="A829" s="68"/>
    </row>
    <row r="830">
      <c r="A830" s="68"/>
    </row>
    <row r="831">
      <c r="A831" s="68"/>
    </row>
    <row r="832">
      <c r="A832" s="68"/>
    </row>
    <row r="833">
      <c r="A833" s="68"/>
    </row>
    <row r="834">
      <c r="A834" s="68"/>
    </row>
    <row r="835">
      <c r="A835" s="68"/>
    </row>
    <row r="836">
      <c r="A836" s="68"/>
    </row>
    <row r="837">
      <c r="A837" s="68"/>
    </row>
    <row r="838">
      <c r="A838" s="68"/>
    </row>
    <row r="839">
      <c r="A839" s="68"/>
    </row>
    <row r="840">
      <c r="A840" s="68"/>
    </row>
    <row r="841">
      <c r="A841" s="68"/>
    </row>
    <row r="842">
      <c r="A842" s="68"/>
    </row>
    <row r="843">
      <c r="A843" s="68"/>
    </row>
    <row r="844">
      <c r="A844" s="68"/>
    </row>
    <row r="845">
      <c r="A845" s="68"/>
    </row>
    <row r="846">
      <c r="A846" s="68"/>
    </row>
    <row r="847">
      <c r="A847" s="68"/>
    </row>
    <row r="848">
      <c r="A848" s="68"/>
    </row>
    <row r="849">
      <c r="A849" s="68"/>
    </row>
    <row r="850">
      <c r="A850" s="68"/>
    </row>
    <row r="851">
      <c r="A851" s="68"/>
    </row>
    <row r="852">
      <c r="A852" s="68"/>
    </row>
    <row r="853">
      <c r="A853" s="68"/>
    </row>
    <row r="854">
      <c r="A854" s="68"/>
    </row>
    <row r="855">
      <c r="A855" s="68"/>
    </row>
    <row r="856">
      <c r="A856" s="68"/>
    </row>
    <row r="857">
      <c r="A857" s="68"/>
    </row>
    <row r="858">
      <c r="A858" s="68"/>
    </row>
    <row r="859">
      <c r="A859" s="68"/>
    </row>
    <row r="860">
      <c r="A860" s="68"/>
    </row>
    <row r="861">
      <c r="A861" s="68"/>
    </row>
    <row r="862">
      <c r="A862" s="68"/>
    </row>
    <row r="863">
      <c r="A863" s="68"/>
    </row>
    <row r="864">
      <c r="A864" s="68"/>
    </row>
    <row r="865">
      <c r="A865" s="68"/>
    </row>
    <row r="866">
      <c r="A866" s="68"/>
    </row>
    <row r="867">
      <c r="A867" s="68"/>
    </row>
    <row r="868">
      <c r="A868" s="68"/>
    </row>
    <row r="869">
      <c r="A869" s="68"/>
    </row>
    <row r="870">
      <c r="A870" s="68"/>
    </row>
    <row r="871">
      <c r="A871" s="68"/>
    </row>
    <row r="872">
      <c r="A872" s="68"/>
    </row>
    <row r="873">
      <c r="A873" s="68"/>
    </row>
    <row r="874">
      <c r="A874" s="68"/>
    </row>
    <row r="875">
      <c r="A875" s="68"/>
    </row>
    <row r="876">
      <c r="A876" s="68"/>
    </row>
    <row r="877">
      <c r="A877" s="68"/>
    </row>
    <row r="878">
      <c r="A878" s="68"/>
    </row>
    <row r="879">
      <c r="A879" s="68"/>
    </row>
    <row r="880">
      <c r="A880" s="68"/>
    </row>
    <row r="881">
      <c r="A881" s="68"/>
    </row>
    <row r="882">
      <c r="A882" s="68"/>
    </row>
    <row r="883">
      <c r="A883" s="68"/>
    </row>
    <row r="884">
      <c r="A884" s="68"/>
    </row>
    <row r="885">
      <c r="A885" s="68"/>
    </row>
    <row r="886">
      <c r="A886" s="68"/>
    </row>
    <row r="887">
      <c r="A887" s="68"/>
    </row>
    <row r="888">
      <c r="A888" s="68"/>
    </row>
    <row r="889">
      <c r="A889" s="68"/>
    </row>
    <row r="890">
      <c r="A890" s="68"/>
    </row>
    <row r="891">
      <c r="A891" s="68"/>
    </row>
    <row r="892">
      <c r="A892" s="68"/>
    </row>
    <row r="893">
      <c r="A893" s="68"/>
    </row>
    <row r="894">
      <c r="A894" s="68"/>
    </row>
    <row r="895">
      <c r="A895" s="68"/>
    </row>
    <row r="896">
      <c r="A896" s="68"/>
    </row>
    <row r="897">
      <c r="A897" s="68"/>
    </row>
    <row r="898">
      <c r="A898" s="68"/>
    </row>
    <row r="899">
      <c r="A899" s="68"/>
    </row>
    <row r="900">
      <c r="A900" s="68"/>
    </row>
    <row r="901">
      <c r="A901" s="68"/>
    </row>
    <row r="902">
      <c r="A902" s="68"/>
    </row>
    <row r="903">
      <c r="A903" s="68"/>
    </row>
    <row r="904">
      <c r="A904" s="68"/>
    </row>
    <row r="905">
      <c r="A905" s="68"/>
    </row>
    <row r="906">
      <c r="A906" s="68"/>
    </row>
    <row r="907">
      <c r="A907" s="68"/>
    </row>
    <row r="908">
      <c r="A908" s="68"/>
    </row>
    <row r="909">
      <c r="A909" s="68"/>
    </row>
    <row r="910">
      <c r="A910" s="68"/>
    </row>
    <row r="911">
      <c r="A911" s="68"/>
    </row>
    <row r="912">
      <c r="A912" s="68"/>
    </row>
    <row r="913">
      <c r="A913" s="68"/>
    </row>
    <row r="914">
      <c r="A914" s="68"/>
    </row>
    <row r="915">
      <c r="A915" s="68"/>
    </row>
    <row r="916">
      <c r="A916" s="68"/>
    </row>
    <row r="917">
      <c r="A917" s="68"/>
    </row>
    <row r="918">
      <c r="A918" s="68"/>
    </row>
    <row r="919">
      <c r="A919" s="68"/>
    </row>
    <row r="920">
      <c r="A920" s="68"/>
    </row>
    <row r="921">
      <c r="A921" s="68"/>
    </row>
    <row r="922">
      <c r="A922" s="68"/>
    </row>
    <row r="923">
      <c r="A923" s="68"/>
    </row>
    <row r="924">
      <c r="A924" s="68"/>
    </row>
    <row r="925">
      <c r="A925" s="68"/>
    </row>
    <row r="926">
      <c r="A926" s="68"/>
    </row>
    <row r="927">
      <c r="A927" s="68"/>
    </row>
    <row r="928">
      <c r="A928" s="68"/>
    </row>
    <row r="929">
      <c r="A929" s="68"/>
    </row>
    <row r="930">
      <c r="A930" s="68"/>
    </row>
    <row r="931">
      <c r="A931" s="68"/>
    </row>
    <row r="932">
      <c r="A932" s="68"/>
    </row>
    <row r="933">
      <c r="A933" s="68"/>
    </row>
    <row r="934">
      <c r="A934" s="68"/>
    </row>
    <row r="935">
      <c r="A935" s="68"/>
    </row>
    <row r="936">
      <c r="A936" s="68"/>
    </row>
    <row r="937">
      <c r="A937" s="68"/>
    </row>
    <row r="938">
      <c r="A938" s="68"/>
    </row>
    <row r="939">
      <c r="A939" s="68"/>
    </row>
    <row r="940">
      <c r="A940" s="68"/>
    </row>
    <row r="941">
      <c r="A941" s="68"/>
    </row>
    <row r="942">
      <c r="A942" s="68"/>
    </row>
    <row r="943">
      <c r="A943" s="68"/>
    </row>
    <row r="944">
      <c r="A944" s="68"/>
    </row>
    <row r="945">
      <c r="A945" s="68"/>
    </row>
    <row r="946">
      <c r="A946" s="68"/>
    </row>
    <row r="947">
      <c r="A947" s="68"/>
    </row>
    <row r="948">
      <c r="A948" s="68"/>
    </row>
    <row r="949">
      <c r="A949" s="68"/>
    </row>
    <row r="950">
      <c r="A950" s="68"/>
    </row>
    <row r="951">
      <c r="A951" s="68"/>
    </row>
    <row r="952">
      <c r="A952" s="68"/>
    </row>
    <row r="953">
      <c r="A953" s="68"/>
    </row>
    <row r="954">
      <c r="A954" s="68"/>
    </row>
    <row r="955">
      <c r="A955" s="68"/>
    </row>
    <row r="956">
      <c r="A956" s="68"/>
    </row>
    <row r="957">
      <c r="A957" s="68"/>
    </row>
    <row r="958">
      <c r="A958" s="68"/>
    </row>
    <row r="959">
      <c r="A959" s="68"/>
    </row>
    <row r="960">
      <c r="A960" s="68"/>
    </row>
    <row r="961">
      <c r="A961" s="68"/>
    </row>
    <row r="962">
      <c r="A962" s="68"/>
    </row>
    <row r="963">
      <c r="A963" s="68"/>
    </row>
    <row r="964">
      <c r="A964" s="68"/>
    </row>
    <row r="965">
      <c r="A965" s="68"/>
    </row>
    <row r="966">
      <c r="A966" s="68"/>
    </row>
    <row r="967">
      <c r="A967" s="68"/>
    </row>
    <row r="968">
      <c r="A968" s="68"/>
    </row>
    <row r="969">
      <c r="A969" s="68"/>
    </row>
    <row r="970">
      <c r="A970" s="68"/>
    </row>
    <row r="971">
      <c r="A971" s="68"/>
    </row>
    <row r="972">
      <c r="A972" s="68"/>
    </row>
    <row r="973">
      <c r="A973" s="68"/>
    </row>
    <row r="974">
      <c r="A974" s="68"/>
    </row>
    <row r="975">
      <c r="A975" s="68"/>
    </row>
    <row r="976">
      <c r="A976" s="68"/>
    </row>
    <row r="977">
      <c r="A977" s="68"/>
    </row>
    <row r="978">
      <c r="A978" s="68"/>
    </row>
    <row r="979">
      <c r="A979" s="68"/>
    </row>
    <row r="980">
      <c r="A980" s="68"/>
    </row>
    <row r="981">
      <c r="A981" s="68"/>
    </row>
    <row r="982">
      <c r="A982" s="68"/>
    </row>
    <row r="983">
      <c r="A983" s="68"/>
    </row>
    <row r="984">
      <c r="A984" s="68"/>
    </row>
    <row r="985">
      <c r="A985" s="68"/>
    </row>
    <row r="986">
      <c r="A986" s="68"/>
    </row>
    <row r="987">
      <c r="A987" s="68"/>
    </row>
    <row r="988">
      <c r="A988" s="68"/>
    </row>
    <row r="989">
      <c r="A989" s="68"/>
    </row>
    <row r="990">
      <c r="A990" s="68"/>
    </row>
    <row r="991">
      <c r="A991" s="68"/>
    </row>
    <row r="992">
      <c r="A992" s="68"/>
    </row>
    <row r="993">
      <c r="A993" s="68"/>
    </row>
    <row r="994">
      <c r="A994" s="68"/>
    </row>
    <row r="995">
      <c r="A995" s="68"/>
    </row>
    <row r="996">
      <c r="A996" s="68"/>
    </row>
    <row r="997">
      <c r="A997" s="68"/>
    </row>
    <row r="998">
      <c r="A998" s="68"/>
    </row>
    <row r="999">
      <c r="A999" s="68"/>
    </row>
    <row r="1000">
      <c r="A1000" s="68"/>
    </row>
    <row r="1001">
      <c r="A1001" s="68"/>
    </row>
    <row r="1002">
      <c r="A1002" s="68"/>
    </row>
    <row r="1003">
      <c r="A1003" s="68"/>
    </row>
    <row r="1004">
      <c r="A1004" s="68"/>
    </row>
    <row r="1005">
      <c r="A1005" s="68"/>
    </row>
    <row r="1006">
      <c r="A1006" s="68"/>
    </row>
    <row r="1007">
      <c r="A1007" s="68"/>
    </row>
    <row r="1008">
      <c r="A1008" s="68"/>
    </row>
    <row r="1009">
      <c r="A1009" s="68"/>
    </row>
    <row r="1010">
      <c r="A1010" s="68"/>
    </row>
    <row r="1011">
      <c r="A1011" s="68"/>
    </row>
    <row r="1012">
      <c r="A1012" s="68"/>
    </row>
    <row r="1013">
      <c r="A1013" s="68"/>
    </row>
    <row r="1014">
      <c r="A1014" s="68"/>
    </row>
    <row r="1015">
      <c r="A1015" s="68"/>
    </row>
    <row r="1016">
      <c r="A1016" s="68"/>
    </row>
    <row r="1017">
      <c r="A1017" s="68"/>
    </row>
    <row r="1018">
      <c r="A1018" s="68"/>
    </row>
    <row r="1019">
      <c r="A1019" s="68"/>
    </row>
    <row r="1020">
      <c r="A1020" s="68"/>
    </row>
    <row r="1021">
      <c r="A1021" s="68"/>
    </row>
    <row r="1022">
      <c r="A1022" s="68"/>
    </row>
    <row r="1023">
      <c r="A1023" s="68"/>
    </row>
    <row r="1024">
      <c r="A1024" s="68"/>
    </row>
    <row r="1025">
      <c r="A1025" s="68"/>
    </row>
    <row r="1026">
      <c r="A1026" s="68"/>
    </row>
    <row r="1027">
      <c r="A1027" s="68"/>
    </row>
    <row r="1028">
      <c r="A1028" s="68"/>
    </row>
    <row r="1029">
      <c r="A1029" s="68"/>
    </row>
    <row r="1030">
      <c r="A1030" s="68"/>
    </row>
    <row r="1031">
      <c r="A1031" s="68"/>
    </row>
    <row r="1032">
      <c r="A1032" s="68"/>
    </row>
    <row r="1033">
      <c r="A1033" s="68"/>
    </row>
    <row r="1034">
      <c r="A1034" s="68"/>
    </row>
    <row r="1035">
      <c r="A1035" s="68"/>
    </row>
    <row r="1036">
      <c r="A1036" s="68"/>
    </row>
    <row r="1037">
      <c r="A1037" s="68"/>
    </row>
    <row r="1038">
      <c r="A1038" s="68"/>
    </row>
    <row r="1039">
      <c r="A1039" s="68"/>
    </row>
    <row r="1040">
      <c r="A1040" s="68"/>
    </row>
    <row r="1041">
      <c r="A1041" s="68"/>
    </row>
    <row r="1042">
      <c r="A1042" s="68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62:P64"/>
    <mergeCell ref="P65:P67"/>
    <mergeCell ref="O68:O70"/>
    <mergeCell ref="P68:P70"/>
    <mergeCell ref="P41:P43"/>
    <mergeCell ref="P44:P46"/>
    <mergeCell ref="P47:P49"/>
    <mergeCell ref="P50:P52"/>
    <mergeCell ref="P53:P55"/>
    <mergeCell ref="P56:P58"/>
    <mergeCell ref="P59:P61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 C66:N66 C69:N69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4.89"/>
    <col customWidth="1" min="2" max="2" width="13.44"/>
    <col customWidth="1" min="3" max="5" width="14.44"/>
    <col customWidth="1" min="6" max="9" width="13.44"/>
    <col customWidth="1" min="18" max="18" width="16.44"/>
    <col customWidth="1" min="19" max="19" width="18.89"/>
  </cols>
  <sheetData>
    <row r="1" ht="37.5" customHeight="1">
      <c r="A1" s="1" t="s">
        <v>0</v>
      </c>
      <c r="B1" s="116"/>
      <c r="C1" s="3" t="s">
        <v>1</v>
      </c>
      <c r="D1" s="3" t="s">
        <v>1</v>
      </c>
      <c r="E1" s="3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82" t="s">
        <v>13</v>
      </c>
      <c r="R1" s="83" t="s">
        <v>14</v>
      </c>
      <c r="S1" s="9" t="s">
        <v>15</v>
      </c>
    </row>
    <row r="2" ht="18.75" customHeight="1">
      <c r="A2" s="84" t="s">
        <v>145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SUM(P2:P70)</f>
        <v>25000</v>
      </c>
      <c r="S2" s="17">
        <f t="shared" si="1"/>
        <v>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19</v>
      </c>
      <c r="C4" s="24"/>
      <c r="D4" s="24"/>
      <c r="E4" s="24"/>
      <c r="F4" s="24"/>
      <c r="G4" s="25"/>
      <c r="H4" s="26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85" t="s">
        <v>146</v>
      </c>
      <c r="B5" s="31" t="s">
        <v>17</v>
      </c>
      <c r="C5" s="32"/>
      <c r="D5" s="32">
        <v>60000.0</v>
      </c>
      <c r="E5" s="32"/>
      <c r="F5" s="33"/>
      <c r="G5" s="33"/>
      <c r="H5" s="33"/>
      <c r="I5" s="33"/>
      <c r="J5" s="33"/>
      <c r="K5" s="33"/>
      <c r="L5" s="33"/>
      <c r="M5" s="33"/>
      <c r="N5" s="33"/>
      <c r="O5" s="33">
        <v>25000.0</v>
      </c>
      <c r="P5" s="34">
        <f>SUMIF(G6:O6,"Efectivo",G5:O5)</f>
        <v>25000</v>
      </c>
      <c r="Q5" s="35">
        <f>SUMIF(G6:O6,"Mercado Pago",G5:O5)</f>
        <v>0</v>
      </c>
      <c r="R5" s="36"/>
      <c r="S5" s="36"/>
    </row>
    <row r="6" ht="18.75" customHeight="1">
      <c r="B6" s="37" t="s">
        <v>18</v>
      </c>
      <c r="C6" s="38"/>
      <c r="D6" s="38" t="s">
        <v>26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 t="s">
        <v>26</v>
      </c>
      <c r="P6" s="39"/>
      <c r="R6" s="36"/>
      <c r="S6" s="36"/>
    </row>
    <row r="7" ht="18.75" customHeight="1">
      <c r="A7" s="22"/>
      <c r="B7" s="40" t="s">
        <v>19</v>
      </c>
      <c r="C7" s="41"/>
      <c r="D7" s="41">
        <v>45975.0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>
        <v>45733.0</v>
      </c>
      <c r="P7" s="43"/>
      <c r="Q7" s="22"/>
      <c r="R7" s="36"/>
      <c r="S7" s="36"/>
    </row>
    <row r="8" ht="18.75" customHeight="1">
      <c r="A8" s="84" t="s">
        <v>147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4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19</v>
      </c>
      <c r="C10" s="45"/>
      <c r="D10" s="45"/>
      <c r="E10" s="45"/>
      <c r="F10" s="45"/>
      <c r="G10" s="46"/>
      <c r="H10" s="47"/>
      <c r="I10" s="27"/>
      <c r="J10" s="27"/>
      <c r="K10" s="27"/>
      <c r="L10" s="27"/>
      <c r="M10" s="27"/>
      <c r="N10" s="27"/>
      <c r="O10" s="27"/>
      <c r="P10" s="43"/>
      <c r="Q10" s="22"/>
      <c r="R10" s="36"/>
      <c r="S10" s="36"/>
    </row>
    <row r="11" ht="18.75" customHeight="1">
      <c r="A11" s="117" t="s">
        <v>148</v>
      </c>
      <c r="B11" s="118" t="s">
        <v>17</v>
      </c>
      <c r="C11" s="32">
        <v>60000.0</v>
      </c>
      <c r="D11" s="32"/>
      <c r="E11" s="32"/>
      <c r="F11" s="32">
        <v>30000.0</v>
      </c>
      <c r="G11" s="32"/>
      <c r="H11" s="32"/>
      <c r="I11" s="32"/>
      <c r="J11" s="48"/>
      <c r="K11" s="48"/>
      <c r="L11" s="48"/>
      <c r="M11" s="48"/>
      <c r="N11" s="48"/>
      <c r="O11" s="48"/>
      <c r="P11" s="44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119" t="s">
        <v>18</v>
      </c>
      <c r="C12" s="38" t="s">
        <v>35</v>
      </c>
      <c r="D12" s="38"/>
      <c r="E12" s="38"/>
      <c r="F12" s="38" t="s">
        <v>26</v>
      </c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120" t="s">
        <v>19</v>
      </c>
      <c r="C13" s="49">
        <v>45980.0</v>
      </c>
      <c r="D13" s="49"/>
      <c r="E13" s="49"/>
      <c r="F13" s="49">
        <v>46099.0</v>
      </c>
      <c r="G13" s="49"/>
      <c r="H13" s="49"/>
      <c r="I13" s="50"/>
      <c r="J13" s="51"/>
      <c r="K13" s="51"/>
      <c r="L13" s="51"/>
      <c r="M13" s="51"/>
      <c r="N13" s="51"/>
      <c r="O13" s="51"/>
      <c r="P13" s="43"/>
      <c r="Q13" s="22"/>
      <c r="R13" s="36"/>
      <c r="S13" s="36"/>
    </row>
    <row r="14" ht="18.75" customHeight="1">
      <c r="A14" s="84" t="s">
        <v>149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4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19</v>
      </c>
      <c r="C16" s="25"/>
      <c r="D16" s="25"/>
      <c r="E16" s="25"/>
      <c r="F16" s="25"/>
      <c r="G16" s="27"/>
      <c r="H16" s="27"/>
      <c r="I16" s="27"/>
      <c r="J16" s="27"/>
      <c r="K16" s="27"/>
      <c r="L16" s="27"/>
      <c r="M16" s="27"/>
      <c r="N16" s="27"/>
      <c r="O16" s="27"/>
      <c r="P16" s="43"/>
      <c r="Q16" s="22"/>
      <c r="R16" s="36"/>
      <c r="S16" s="36"/>
    </row>
    <row r="17" ht="18.75" customHeight="1">
      <c r="A17" s="85" t="s">
        <v>150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4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19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22"/>
      <c r="R19" s="36"/>
      <c r="S19" s="36"/>
    </row>
    <row r="20" ht="18.75" customHeight="1">
      <c r="A20" s="84" t="s">
        <v>151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4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5"/>
      <c r="H22" s="27"/>
      <c r="I22" s="27"/>
      <c r="J22" s="27"/>
      <c r="K22" s="27"/>
      <c r="L22" s="27"/>
      <c r="M22" s="27"/>
      <c r="N22" s="27"/>
      <c r="O22" s="27"/>
      <c r="P22" s="43"/>
      <c r="Q22" s="22"/>
      <c r="R22" s="36"/>
      <c r="S22" s="36"/>
    </row>
    <row r="23" ht="18.75" customHeight="1">
      <c r="A23" s="85" t="s">
        <v>152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4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22"/>
      <c r="B25" s="40" t="s">
        <v>19</v>
      </c>
      <c r="C25" s="49"/>
      <c r="D25" s="49"/>
      <c r="E25" s="49"/>
      <c r="F25" s="49"/>
      <c r="G25" s="51"/>
      <c r="H25" s="42"/>
      <c r="I25" s="42"/>
      <c r="J25" s="42"/>
      <c r="K25" s="42"/>
      <c r="L25" s="42"/>
      <c r="M25" s="42"/>
      <c r="N25" s="42"/>
      <c r="O25" s="42"/>
      <c r="P25" s="43"/>
      <c r="Q25" s="22"/>
      <c r="R25" s="36"/>
      <c r="S25" s="36"/>
    </row>
    <row r="26" ht="18.75" customHeight="1">
      <c r="A26" s="84" t="s">
        <v>153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4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19</v>
      </c>
      <c r="C28" s="25"/>
      <c r="D28" s="25"/>
      <c r="E28" s="25"/>
      <c r="F28" s="25"/>
      <c r="G28" s="27"/>
      <c r="H28" s="27"/>
      <c r="I28" s="27"/>
      <c r="J28" s="27"/>
      <c r="K28" s="27"/>
      <c r="L28" s="27"/>
      <c r="M28" s="27"/>
      <c r="N28" s="27"/>
      <c r="O28" s="27"/>
      <c r="P28" s="43"/>
      <c r="Q28" s="22"/>
      <c r="R28" s="36"/>
      <c r="S28" s="36"/>
    </row>
    <row r="29" ht="18.75" customHeight="1">
      <c r="A29" s="85" t="s">
        <v>154</v>
      </c>
      <c r="B29" s="31" t="s">
        <v>17</v>
      </c>
      <c r="C29" s="32">
        <v>35000.0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4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 t="s">
        <v>26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19</v>
      </c>
      <c r="C31" s="49">
        <v>46071.0</v>
      </c>
      <c r="D31" s="49"/>
      <c r="E31" s="49"/>
      <c r="F31" s="49"/>
      <c r="G31" s="49"/>
      <c r="H31" s="51"/>
      <c r="I31" s="42"/>
      <c r="J31" s="42"/>
      <c r="K31" s="42"/>
      <c r="L31" s="42"/>
      <c r="M31" s="42"/>
      <c r="N31" s="42"/>
      <c r="O31" s="42"/>
      <c r="P31" s="43"/>
      <c r="Q31" s="22"/>
      <c r="R31" s="36"/>
      <c r="S31" s="36"/>
    </row>
    <row r="32" ht="18.75" customHeight="1">
      <c r="A32" s="84" t="s">
        <v>155</v>
      </c>
      <c r="B32" s="11" t="s">
        <v>17</v>
      </c>
      <c r="C32" s="12">
        <v>60000.0</v>
      </c>
      <c r="D32" s="12"/>
      <c r="E32" s="12">
        <v>30000.0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4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 t="s">
        <v>26</v>
      </c>
      <c r="D33" s="19"/>
      <c r="E33" s="19" t="s">
        <v>26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19</v>
      </c>
      <c r="C34" s="26">
        <v>46076.0</v>
      </c>
      <c r="D34" s="26"/>
      <c r="E34" s="26">
        <v>45707.0</v>
      </c>
      <c r="F34" s="114"/>
      <c r="G34" s="26"/>
      <c r="H34" s="26"/>
      <c r="I34" s="26"/>
      <c r="J34" s="26"/>
      <c r="K34" s="27"/>
      <c r="L34" s="27"/>
      <c r="M34" s="27"/>
      <c r="N34" s="27"/>
      <c r="O34" s="27"/>
      <c r="P34" s="43"/>
      <c r="Q34" s="22"/>
      <c r="R34" s="36"/>
      <c r="S34" s="36"/>
    </row>
    <row r="35" ht="18.75" customHeight="1">
      <c r="A35" s="85" t="s">
        <v>156</v>
      </c>
      <c r="B35" s="31" t="s">
        <v>17</v>
      </c>
      <c r="C35" s="32">
        <v>35000.0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4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 t="s">
        <v>26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19</v>
      </c>
      <c r="C37" s="51">
        <v>45979.0</v>
      </c>
      <c r="D37" s="51"/>
      <c r="E37" s="51"/>
      <c r="F37" s="51"/>
      <c r="G37" s="51"/>
      <c r="H37" s="41"/>
      <c r="I37" s="41"/>
      <c r="J37" s="42"/>
      <c r="K37" s="42"/>
      <c r="L37" s="42"/>
      <c r="M37" s="42"/>
      <c r="N37" s="42"/>
      <c r="O37" s="42"/>
      <c r="P37" s="43"/>
      <c r="Q37" s="22"/>
      <c r="R37" s="36"/>
      <c r="S37" s="36"/>
    </row>
    <row r="38" ht="18.75" customHeight="1">
      <c r="A38" s="84" t="s">
        <v>157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4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45"/>
      <c r="I40" s="25"/>
      <c r="J40" s="25"/>
      <c r="K40" s="25"/>
      <c r="L40" s="25"/>
      <c r="M40" s="25"/>
      <c r="N40" s="25"/>
      <c r="O40" s="25"/>
      <c r="P40" s="43"/>
      <c r="Q40" s="22"/>
      <c r="R40" s="36"/>
      <c r="S40" s="36"/>
    </row>
    <row r="41" ht="18.75" customHeight="1">
      <c r="A41" s="85" t="s">
        <v>158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4">
        <f>SUMIF(G42:O42,"Efectivo",G41:O41)</f>
        <v>0</v>
      </c>
      <c r="Q41" s="15">
        <f>SUMIF(G42:O42,"Mercado Pago",G41:O41)</f>
        <v>0</v>
      </c>
      <c r="R41" s="36"/>
      <c r="S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R42" s="36"/>
      <c r="S42" s="36"/>
    </row>
    <row r="43" ht="18.75" customHeight="1">
      <c r="A43" s="22"/>
      <c r="B43" s="40" t="s">
        <v>19</v>
      </c>
      <c r="C43" s="52"/>
      <c r="D43" s="52"/>
      <c r="E43" s="52"/>
      <c r="F43" s="52"/>
      <c r="G43" s="49"/>
      <c r="H43" s="51"/>
      <c r="I43" s="42"/>
      <c r="J43" s="42"/>
      <c r="K43" s="42"/>
      <c r="L43" s="42"/>
      <c r="M43" s="42"/>
      <c r="N43" s="42"/>
      <c r="O43" s="42"/>
      <c r="P43" s="43"/>
      <c r="Q43" s="22"/>
      <c r="R43" s="36"/>
      <c r="S43" s="36"/>
    </row>
    <row r="44" ht="18.75" customHeight="1">
      <c r="A44" s="87" t="s">
        <v>159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44">
        <f>SUMIF(G45:O45,"Efectivo",G44:O44)</f>
        <v>0</v>
      </c>
      <c r="Q44" s="15">
        <f>SUMIF(G45:O45,"Mercado Pago",G44:O44)</f>
        <v>0</v>
      </c>
      <c r="R44" s="36"/>
      <c r="S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39"/>
      <c r="R45" s="36"/>
      <c r="S45" s="36"/>
    </row>
    <row r="46" ht="18.75" customHeight="1">
      <c r="A46" s="22"/>
      <c r="B46" s="23" t="s">
        <v>19</v>
      </c>
      <c r="C46" s="45"/>
      <c r="D46" s="45"/>
      <c r="E46" s="45"/>
      <c r="F46" s="45"/>
      <c r="G46" s="45"/>
      <c r="H46" s="25"/>
      <c r="I46" s="54"/>
      <c r="J46" s="54"/>
      <c r="K46" s="54"/>
      <c r="L46" s="54"/>
      <c r="M46" s="54"/>
      <c r="N46" s="54"/>
      <c r="O46" s="54"/>
      <c r="P46" s="43"/>
      <c r="Q46" s="22"/>
      <c r="R46" s="36"/>
      <c r="S46" s="36"/>
    </row>
    <row r="47" ht="18.75" customHeight="1">
      <c r="A47" s="85" t="s">
        <v>160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44">
        <f>SUMIF(G48:O48,"Efectivo",G47:O47)</f>
        <v>0</v>
      </c>
      <c r="Q47" s="15">
        <f>SUMIF(G48:O48,"Mercado Pago",G47:O47)</f>
        <v>0</v>
      </c>
      <c r="R47" s="36"/>
      <c r="S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/>
      <c r="R48" s="36"/>
      <c r="S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49"/>
      <c r="I49" s="51"/>
      <c r="J49" s="51"/>
      <c r="K49" s="51"/>
      <c r="L49" s="51"/>
      <c r="M49" s="51"/>
      <c r="N49" s="51"/>
      <c r="O49" s="51"/>
      <c r="P49" s="43"/>
      <c r="Q49" s="22"/>
      <c r="R49" s="36"/>
      <c r="S49" s="36"/>
    </row>
    <row r="50" ht="18.75" customHeight="1">
      <c r="A50" s="84" t="s">
        <v>161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4">
        <f>SUMIF(G51:O51,"Efectivo",G50:O50)</f>
        <v>0</v>
      </c>
      <c r="Q50" s="15">
        <f>SUMIF(G51:O51,"Mercado Pago",G50:O50)</f>
        <v>0</v>
      </c>
      <c r="R50" s="36"/>
      <c r="S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9"/>
      <c r="R51" s="36"/>
      <c r="S51" s="36"/>
    </row>
    <row r="52" ht="18.75" customHeight="1">
      <c r="A52" s="22"/>
      <c r="B52" s="23" t="s">
        <v>19</v>
      </c>
      <c r="C52" s="25"/>
      <c r="D52" s="25"/>
      <c r="E52" s="25"/>
      <c r="F52" s="25"/>
      <c r="G52" s="27"/>
      <c r="H52" s="27"/>
      <c r="I52" s="27"/>
      <c r="J52" s="27"/>
      <c r="K52" s="27"/>
      <c r="L52" s="27"/>
      <c r="M52" s="27"/>
      <c r="N52" s="27"/>
      <c r="O52" s="27"/>
      <c r="P52" s="43"/>
      <c r="Q52" s="22"/>
      <c r="R52" s="36"/>
      <c r="S52" s="36"/>
    </row>
    <row r="53" ht="18.75" customHeight="1">
      <c r="A53" s="88" t="s">
        <v>162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44">
        <f>SUMIF(G54:O54,"Efectivo",G53:O53)</f>
        <v>0</v>
      </c>
      <c r="Q53" s="15">
        <f>SUMIF(G54:O54,"Mercado Pago",G53:O53)</f>
        <v>0</v>
      </c>
      <c r="R53" s="36"/>
      <c r="S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9"/>
      <c r="R54" s="36"/>
      <c r="S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49"/>
      <c r="I55" s="51"/>
      <c r="J55" s="42"/>
      <c r="K55" s="42"/>
      <c r="L55" s="42"/>
      <c r="M55" s="42"/>
      <c r="N55" s="42"/>
      <c r="O55" s="42"/>
      <c r="P55" s="43"/>
      <c r="Q55" s="22"/>
      <c r="R55" s="36"/>
      <c r="S55" s="36"/>
    </row>
    <row r="56" ht="18.75" customHeight="1">
      <c r="A56" s="84" t="s">
        <v>163</v>
      </c>
      <c r="B56" s="11" t="s">
        <v>17</v>
      </c>
      <c r="C56" s="12">
        <v>60000.0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44">
        <f>SUMIF(G57:O57,"Efectivo",G56:O56)</f>
        <v>0</v>
      </c>
      <c r="Q56" s="15">
        <f>SUMIF(G57:O57,"Mercado Pago",G56:O56)</f>
        <v>0</v>
      </c>
      <c r="R56" s="36"/>
      <c r="S56" s="36"/>
    </row>
    <row r="57" ht="18.75" customHeight="1">
      <c r="B57" s="18" t="s">
        <v>18</v>
      </c>
      <c r="C57" s="19" t="s">
        <v>26</v>
      </c>
      <c r="D57" s="19"/>
      <c r="E57" s="19" t="s">
        <v>26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9"/>
      <c r="R57" s="36"/>
      <c r="S57" s="36"/>
    </row>
    <row r="58" ht="18.75" customHeight="1">
      <c r="A58" s="22"/>
      <c r="B58" s="23" t="s">
        <v>19</v>
      </c>
      <c r="C58" s="58">
        <v>46080.0</v>
      </c>
      <c r="D58" s="58"/>
      <c r="E58" s="58"/>
      <c r="F58" s="58"/>
      <c r="G58" s="58"/>
      <c r="H58" s="60"/>
      <c r="I58" s="60"/>
      <c r="J58" s="60"/>
      <c r="K58" s="60"/>
      <c r="L58" s="60"/>
      <c r="M58" s="60"/>
      <c r="N58" s="60"/>
      <c r="O58" s="60"/>
      <c r="P58" s="43"/>
      <c r="Q58" s="22"/>
      <c r="R58" s="36"/>
      <c r="S58" s="36"/>
    </row>
    <row r="59" ht="18.75" customHeight="1">
      <c r="A59" s="85" t="s">
        <v>164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44">
        <f>SUMIF(G60:O60,"Efectivo",G59:O59)</f>
        <v>0</v>
      </c>
      <c r="Q59" s="15">
        <f>SUMIF(G60:O60,"Mercado Pago",G59:O59)</f>
        <v>0</v>
      </c>
      <c r="R59" s="36"/>
      <c r="S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9"/>
      <c r="R60" s="36"/>
      <c r="S60" s="36"/>
    </row>
    <row r="61" ht="18.75" customHeight="1">
      <c r="A61" s="22"/>
      <c r="B61" s="40" t="s">
        <v>19</v>
      </c>
      <c r="C61" s="51"/>
      <c r="D61" s="51"/>
      <c r="E61" s="51"/>
      <c r="F61" s="51"/>
      <c r="G61" s="51"/>
      <c r="H61" s="42"/>
      <c r="I61" s="42"/>
      <c r="J61" s="42"/>
      <c r="K61" s="42"/>
      <c r="L61" s="42"/>
      <c r="M61" s="42"/>
      <c r="N61" s="42"/>
      <c r="O61" s="42"/>
      <c r="P61" s="43"/>
      <c r="Q61" s="22"/>
      <c r="R61" s="36"/>
      <c r="S61" s="36"/>
    </row>
    <row r="62" ht="18.75" customHeight="1">
      <c r="A62" s="64" t="s">
        <v>165</v>
      </c>
      <c r="B62" s="11" t="s">
        <v>17</v>
      </c>
      <c r="C62" s="12">
        <v>55000.0</v>
      </c>
      <c r="D62" s="12"/>
      <c r="E62" s="12">
        <v>30000.0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4">
        <f>SUMIF(G63:O63,"Efectivo",G62:O62)</f>
        <v>0</v>
      </c>
      <c r="Q62" s="15">
        <f>SUMIF(G63:O63,"Mercado Pago",G62:O62)</f>
        <v>0</v>
      </c>
      <c r="R62" s="36"/>
      <c r="S62" s="36"/>
    </row>
    <row r="63" ht="18.75" customHeight="1">
      <c r="B63" s="18" t="s">
        <v>18</v>
      </c>
      <c r="C63" s="19" t="s">
        <v>35</v>
      </c>
      <c r="D63" s="19"/>
      <c r="E63" s="19" t="s">
        <v>26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9"/>
      <c r="R63" s="36"/>
      <c r="S63" s="36"/>
    </row>
    <row r="64" ht="18.75" customHeight="1">
      <c r="A64" s="22"/>
      <c r="B64" s="23" t="s">
        <v>19</v>
      </c>
      <c r="C64" s="45">
        <v>45980.0</v>
      </c>
      <c r="D64" s="45"/>
      <c r="E64" s="45">
        <v>45343.0</v>
      </c>
      <c r="F64" s="45"/>
      <c r="G64" s="26"/>
      <c r="H64" s="26"/>
      <c r="I64" s="26"/>
      <c r="J64" s="26"/>
      <c r="K64" s="27"/>
      <c r="L64" s="27"/>
      <c r="M64" s="27"/>
      <c r="N64" s="27"/>
      <c r="O64" s="27"/>
      <c r="P64" s="43"/>
      <c r="Q64" s="22"/>
      <c r="R64" s="36"/>
      <c r="S64" s="36"/>
    </row>
    <row r="65" ht="18.75" customHeight="1">
      <c r="A65" s="61" t="s">
        <v>166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44">
        <f>SUMIF(G66:O66,"Efectivo",G65:O65)</f>
        <v>0</v>
      </c>
      <c r="Q65" s="15">
        <f>SUMIF(G66:O66,"Mercado Pago",G65:O65)</f>
        <v>0</v>
      </c>
      <c r="R65" s="36"/>
      <c r="S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9"/>
      <c r="R66" s="36"/>
      <c r="S66" s="36"/>
    </row>
    <row r="67" ht="18.75" customHeight="1">
      <c r="A67" s="22"/>
      <c r="B67" s="40" t="s">
        <v>19</v>
      </c>
      <c r="C67" s="49"/>
      <c r="D67" s="49"/>
      <c r="E67" s="49"/>
      <c r="F67" s="49"/>
      <c r="G67" s="49"/>
      <c r="H67" s="52"/>
      <c r="I67" s="52"/>
      <c r="J67" s="66"/>
      <c r="K67" s="66"/>
      <c r="L67" s="66"/>
      <c r="M67" s="66"/>
      <c r="N67" s="66"/>
      <c r="O67" s="66"/>
      <c r="P67" s="43"/>
      <c r="Q67" s="22"/>
      <c r="R67" s="36"/>
      <c r="S67" s="36"/>
    </row>
    <row r="68" ht="18.75" customHeight="1">
      <c r="A68" s="63" t="s">
        <v>167</v>
      </c>
      <c r="B68" s="11" t="s">
        <v>17</v>
      </c>
      <c r="C68" s="12"/>
      <c r="D68" s="12"/>
      <c r="E68" s="12">
        <v>60000.0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4">
        <f>SUMIF(G69:O69,"Efectivo",G68:O68)</f>
        <v>0</v>
      </c>
      <c r="Q68" s="15">
        <f>SUMIF(G69:O69,"Mercado Pago",G68:O68)</f>
        <v>0</v>
      </c>
      <c r="R68" s="36"/>
      <c r="S68" s="36"/>
    </row>
    <row r="69" ht="18.75" customHeight="1">
      <c r="B69" s="18" t="s">
        <v>18</v>
      </c>
      <c r="C69" s="19"/>
      <c r="D69" s="19"/>
      <c r="E69" s="19" t="s">
        <v>26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39"/>
      <c r="R69" s="36"/>
      <c r="S69" s="36"/>
    </row>
    <row r="70">
      <c r="A70" s="22"/>
      <c r="B70" s="23" t="s">
        <v>19</v>
      </c>
      <c r="C70" s="45"/>
      <c r="D70" s="45"/>
      <c r="E70" s="45">
        <v>45972.0</v>
      </c>
      <c r="F70" s="45"/>
      <c r="G70" s="45"/>
      <c r="H70" s="25"/>
      <c r="I70" s="25"/>
      <c r="J70" s="25"/>
      <c r="K70" s="25"/>
      <c r="L70" s="25"/>
      <c r="M70" s="25"/>
      <c r="N70" s="25"/>
      <c r="O70" s="25"/>
      <c r="P70" s="43"/>
      <c r="Q70" s="22"/>
      <c r="R70" s="36"/>
      <c r="S70" s="36"/>
    </row>
    <row r="71">
      <c r="A71" s="67"/>
      <c r="B71" s="68"/>
      <c r="C71" s="68"/>
      <c r="D71" s="68"/>
      <c r="E71" s="68"/>
      <c r="F71" s="68"/>
      <c r="G71" s="68"/>
      <c r="H71" s="68"/>
      <c r="I71" s="68"/>
      <c r="J71" s="68"/>
    </row>
    <row r="72">
      <c r="A72" s="67"/>
      <c r="B72" s="68"/>
      <c r="C72" s="68"/>
      <c r="D72" s="68"/>
      <c r="E72" s="68"/>
      <c r="F72" s="68"/>
      <c r="G72" s="68"/>
      <c r="H72" s="68"/>
      <c r="I72" s="68"/>
      <c r="J72" s="68"/>
    </row>
    <row r="73">
      <c r="A73" s="67"/>
      <c r="B73" s="68"/>
      <c r="C73" s="68"/>
      <c r="D73" s="68"/>
      <c r="E73" s="68"/>
      <c r="F73" s="68"/>
      <c r="G73" s="68"/>
      <c r="H73" s="68"/>
      <c r="I73" s="68"/>
      <c r="J73" s="68"/>
    </row>
    <row r="74">
      <c r="A74" s="67"/>
      <c r="B74" s="68"/>
      <c r="C74" s="68"/>
      <c r="D74" s="68"/>
      <c r="E74" s="68"/>
      <c r="F74" s="68"/>
      <c r="G74" s="68"/>
      <c r="H74" s="68"/>
      <c r="I74" s="68"/>
      <c r="J74" s="68"/>
    </row>
    <row r="75">
      <c r="A75" s="67"/>
      <c r="B75" s="68"/>
      <c r="C75" s="68"/>
      <c r="D75" s="68"/>
      <c r="E75" s="68"/>
      <c r="F75" s="68"/>
      <c r="G75" s="68"/>
      <c r="H75" s="68"/>
      <c r="I75" s="68"/>
      <c r="J75" s="68"/>
    </row>
    <row r="76">
      <c r="A76" s="67"/>
      <c r="B76" s="68"/>
      <c r="C76" s="68"/>
      <c r="D76" s="68"/>
      <c r="E76" s="68"/>
      <c r="F76" s="68"/>
      <c r="G76" s="68"/>
      <c r="H76" s="68"/>
      <c r="I76" s="68"/>
      <c r="J76" s="68"/>
    </row>
    <row r="77">
      <c r="A77" s="67"/>
      <c r="B77" s="68"/>
      <c r="C77" s="68"/>
      <c r="D77" s="68"/>
      <c r="E77" s="68"/>
      <c r="F77" s="68"/>
      <c r="G77" s="68"/>
      <c r="H77" s="68"/>
      <c r="I77" s="68"/>
      <c r="J77" s="68"/>
    </row>
    <row r="78">
      <c r="A78" s="67"/>
      <c r="B78" s="68"/>
      <c r="C78" s="68"/>
      <c r="D78" s="68"/>
      <c r="E78" s="68"/>
      <c r="F78" s="68"/>
      <c r="G78" s="68"/>
      <c r="H78" s="68"/>
      <c r="I78" s="68"/>
      <c r="J78" s="68"/>
    </row>
    <row r="79">
      <c r="A79" s="67"/>
      <c r="B79" s="68"/>
      <c r="C79" s="68"/>
      <c r="D79" s="68"/>
      <c r="E79" s="68"/>
      <c r="F79" s="68"/>
      <c r="G79" s="68"/>
      <c r="H79" s="68"/>
      <c r="I79" s="68"/>
      <c r="J79" s="68"/>
    </row>
    <row r="80">
      <c r="A80" s="67"/>
      <c r="B80" s="68"/>
      <c r="C80" s="68"/>
      <c r="D80" s="68"/>
      <c r="E80" s="68"/>
      <c r="F80" s="68"/>
      <c r="G80" s="68"/>
      <c r="H80" s="68"/>
      <c r="I80" s="68"/>
      <c r="J80" s="68"/>
    </row>
    <row r="81">
      <c r="A81" s="67"/>
      <c r="B81" s="68"/>
      <c r="C81" s="68"/>
      <c r="D81" s="68"/>
      <c r="E81" s="68"/>
      <c r="F81" s="68"/>
      <c r="G81" s="68"/>
      <c r="H81" s="68"/>
      <c r="I81" s="68"/>
      <c r="J81" s="68"/>
    </row>
    <row r="82">
      <c r="A82" s="67"/>
      <c r="B82" s="68"/>
      <c r="C82" s="68"/>
      <c r="D82" s="68"/>
      <c r="E82" s="68"/>
      <c r="F82" s="68"/>
      <c r="G82" s="68"/>
      <c r="H82" s="68"/>
      <c r="I82" s="68"/>
      <c r="J82" s="68"/>
    </row>
    <row r="83">
      <c r="A83" s="67"/>
      <c r="B83" s="68"/>
      <c r="C83" s="68"/>
      <c r="D83" s="68"/>
      <c r="E83" s="68"/>
      <c r="F83" s="68"/>
      <c r="G83" s="68"/>
      <c r="H83" s="68"/>
      <c r="I83" s="68"/>
      <c r="J83" s="68"/>
    </row>
    <row r="84">
      <c r="A84" s="67"/>
      <c r="B84" s="68"/>
      <c r="C84" s="68"/>
      <c r="D84" s="68"/>
      <c r="E84" s="68"/>
      <c r="F84" s="68"/>
      <c r="G84" s="68"/>
      <c r="H84" s="68"/>
      <c r="I84" s="68"/>
      <c r="J84" s="68"/>
    </row>
    <row r="85">
      <c r="A85" s="67"/>
      <c r="B85" s="68"/>
      <c r="C85" s="68"/>
      <c r="D85" s="68"/>
      <c r="E85" s="68"/>
      <c r="F85" s="68"/>
      <c r="G85" s="68"/>
      <c r="H85" s="68"/>
      <c r="I85" s="68"/>
      <c r="J85" s="68"/>
    </row>
    <row r="86">
      <c r="A86" s="67"/>
      <c r="B86" s="68"/>
      <c r="C86" s="68"/>
      <c r="D86" s="68"/>
      <c r="E86" s="68"/>
      <c r="F86" s="68"/>
      <c r="G86" s="68"/>
      <c r="H86" s="68"/>
      <c r="I86" s="68"/>
      <c r="J86" s="68"/>
    </row>
    <row r="87">
      <c r="A87" s="67"/>
      <c r="B87" s="68"/>
      <c r="C87" s="68"/>
      <c r="D87" s="68"/>
      <c r="E87" s="68"/>
      <c r="F87" s="68"/>
      <c r="G87" s="68"/>
      <c r="H87" s="68"/>
      <c r="I87" s="68"/>
      <c r="J87" s="68"/>
    </row>
    <row r="88">
      <c r="A88" s="67"/>
      <c r="B88" s="68"/>
      <c r="C88" s="68"/>
      <c r="D88" s="68"/>
      <c r="E88" s="68"/>
      <c r="F88" s="68"/>
      <c r="G88" s="68"/>
      <c r="H88" s="68"/>
      <c r="I88" s="68"/>
      <c r="J88" s="68"/>
    </row>
    <row r="89">
      <c r="A89" s="67"/>
      <c r="B89" s="68"/>
      <c r="C89" s="68"/>
      <c r="D89" s="68"/>
      <c r="E89" s="68"/>
      <c r="F89" s="68"/>
      <c r="G89" s="68"/>
      <c r="H89" s="68"/>
      <c r="I89" s="68"/>
      <c r="J89" s="68"/>
    </row>
    <row r="90">
      <c r="A90" s="67"/>
      <c r="B90" s="68"/>
      <c r="C90" s="68"/>
      <c r="D90" s="68"/>
      <c r="E90" s="68"/>
      <c r="F90" s="68"/>
      <c r="G90" s="68"/>
      <c r="H90" s="68"/>
      <c r="I90" s="68"/>
      <c r="J90" s="68"/>
    </row>
    <row r="91">
      <c r="A91" s="67"/>
      <c r="B91" s="68"/>
      <c r="C91" s="68"/>
      <c r="D91" s="68"/>
      <c r="E91" s="68"/>
      <c r="F91" s="68"/>
      <c r="G91" s="68"/>
      <c r="H91" s="68"/>
      <c r="I91" s="68"/>
      <c r="J91" s="68"/>
    </row>
    <row r="92">
      <c r="A92" s="67"/>
      <c r="B92" s="68"/>
      <c r="C92" s="68"/>
      <c r="D92" s="68"/>
      <c r="E92" s="68"/>
      <c r="F92" s="68"/>
      <c r="G92" s="68"/>
      <c r="H92" s="68"/>
      <c r="I92" s="68"/>
      <c r="J92" s="68"/>
    </row>
    <row r="93">
      <c r="A93" s="67"/>
      <c r="B93" s="68"/>
      <c r="C93" s="68"/>
      <c r="D93" s="68"/>
      <c r="E93" s="68"/>
      <c r="F93" s="68"/>
      <c r="G93" s="68"/>
      <c r="H93" s="68"/>
      <c r="I93" s="68"/>
      <c r="J93" s="68"/>
    </row>
    <row r="94">
      <c r="A94" s="67"/>
      <c r="B94" s="68"/>
      <c r="C94" s="68"/>
      <c r="D94" s="68"/>
      <c r="E94" s="68"/>
      <c r="F94" s="68"/>
      <c r="G94" s="68"/>
      <c r="H94" s="68"/>
      <c r="I94" s="68"/>
      <c r="J94" s="68"/>
    </row>
    <row r="95">
      <c r="A95" s="67"/>
      <c r="B95" s="68"/>
      <c r="C95" s="68"/>
      <c r="D95" s="68"/>
      <c r="E95" s="68"/>
      <c r="F95" s="68"/>
      <c r="G95" s="68"/>
      <c r="H95" s="68"/>
      <c r="I95" s="68"/>
      <c r="J95" s="68"/>
    </row>
    <row r="96">
      <c r="A96" s="67"/>
      <c r="B96" s="68"/>
      <c r="C96" s="68"/>
      <c r="D96" s="68"/>
      <c r="E96" s="68"/>
      <c r="F96" s="68"/>
      <c r="G96" s="68"/>
      <c r="H96" s="68"/>
      <c r="I96" s="68"/>
      <c r="J96" s="68"/>
    </row>
    <row r="97">
      <c r="A97" s="67"/>
      <c r="B97" s="68"/>
      <c r="C97" s="68"/>
      <c r="D97" s="68"/>
      <c r="E97" s="68"/>
      <c r="F97" s="68"/>
      <c r="G97" s="68"/>
      <c r="H97" s="68"/>
      <c r="I97" s="68"/>
      <c r="J97" s="68"/>
    </row>
    <row r="98">
      <c r="A98" s="67"/>
      <c r="B98" s="68"/>
      <c r="C98" s="68"/>
      <c r="D98" s="68"/>
      <c r="E98" s="68"/>
      <c r="F98" s="68"/>
      <c r="G98" s="68"/>
      <c r="H98" s="68"/>
      <c r="I98" s="68"/>
      <c r="J98" s="68"/>
    </row>
    <row r="99">
      <c r="A99" s="67"/>
      <c r="B99" s="68"/>
      <c r="C99" s="68"/>
      <c r="D99" s="68"/>
      <c r="E99" s="68"/>
      <c r="F99" s="68"/>
      <c r="G99" s="68"/>
      <c r="H99" s="68"/>
      <c r="I99" s="68"/>
      <c r="J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  <c r="J100" s="68"/>
    </row>
    <row r="101">
      <c r="A101" s="67"/>
      <c r="B101" s="121"/>
    </row>
    <row r="102">
      <c r="A102" s="67"/>
      <c r="B102" s="121"/>
    </row>
    <row r="103">
      <c r="A103" s="67"/>
      <c r="B103" s="121"/>
    </row>
    <row r="104">
      <c r="A104" s="67"/>
      <c r="B104" s="121"/>
    </row>
    <row r="105">
      <c r="A105" s="67"/>
      <c r="B105" s="121"/>
    </row>
    <row r="106">
      <c r="A106" s="67"/>
      <c r="B106" s="121"/>
    </row>
    <row r="107">
      <c r="A107" s="67"/>
      <c r="B107" s="121"/>
    </row>
    <row r="108">
      <c r="A108" s="67"/>
      <c r="B108" s="121"/>
    </row>
    <row r="109">
      <c r="A109" s="67"/>
      <c r="B109" s="121"/>
    </row>
    <row r="110">
      <c r="A110" s="67"/>
      <c r="B110" s="121"/>
    </row>
    <row r="111">
      <c r="A111" s="67"/>
      <c r="B111" s="121"/>
    </row>
    <row r="112">
      <c r="A112" s="67"/>
      <c r="B112" s="121"/>
    </row>
    <row r="113">
      <c r="A113" s="67"/>
      <c r="B113" s="121"/>
    </row>
    <row r="114">
      <c r="A114" s="67"/>
      <c r="B114" s="121"/>
    </row>
    <row r="115">
      <c r="A115" s="67"/>
      <c r="B115" s="121"/>
    </row>
    <row r="116">
      <c r="A116" s="67"/>
      <c r="B116" s="121"/>
    </row>
    <row r="117">
      <c r="A117" s="67"/>
      <c r="B117" s="121"/>
    </row>
    <row r="118">
      <c r="A118" s="67"/>
      <c r="B118" s="121"/>
    </row>
    <row r="119">
      <c r="A119" s="56"/>
      <c r="B119" s="121"/>
    </row>
    <row r="120">
      <c r="B120" s="121"/>
    </row>
    <row r="121">
      <c r="B121" s="121"/>
    </row>
    <row r="122">
      <c r="A122" s="56"/>
      <c r="B122" s="121"/>
    </row>
    <row r="123">
      <c r="B123" s="121"/>
    </row>
    <row r="124">
      <c r="B124" s="121"/>
    </row>
    <row r="125">
      <c r="A125" s="67"/>
      <c r="B125" s="121"/>
    </row>
    <row r="126">
      <c r="A126" s="67"/>
      <c r="B126" s="121"/>
    </row>
    <row r="127">
      <c r="A127" s="67"/>
      <c r="B127" s="121"/>
    </row>
    <row r="128">
      <c r="A128" s="67"/>
      <c r="B128" s="121"/>
    </row>
    <row r="129">
      <c r="A129" s="67"/>
      <c r="B129" s="121"/>
    </row>
    <row r="130">
      <c r="A130" s="67"/>
      <c r="B130" s="121"/>
    </row>
    <row r="131">
      <c r="A131" s="67"/>
      <c r="B131" s="121"/>
    </row>
    <row r="132">
      <c r="A132" s="67"/>
      <c r="B132" s="121"/>
    </row>
    <row r="133">
      <c r="A133" s="67"/>
      <c r="B133" s="121"/>
    </row>
    <row r="134">
      <c r="A134" s="67"/>
      <c r="B134" s="121"/>
    </row>
    <row r="135">
      <c r="A135" s="67"/>
      <c r="B135" s="121"/>
    </row>
    <row r="136">
      <c r="A136" s="67"/>
      <c r="B136" s="121"/>
    </row>
    <row r="137">
      <c r="A137" s="67"/>
      <c r="B137" s="121"/>
    </row>
    <row r="138">
      <c r="A138" s="67"/>
      <c r="B138" s="121"/>
    </row>
    <row r="139">
      <c r="A139" s="67"/>
      <c r="B139" s="121"/>
    </row>
    <row r="140">
      <c r="A140" s="67"/>
      <c r="B140" s="121"/>
    </row>
    <row r="141">
      <c r="A141" s="67"/>
      <c r="B141" s="121"/>
    </row>
    <row r="142">
      <c r="A142" s="67"/>
      <c r="B142" s="121"/>
    </row>
    <row r="143">
      <c r="A143" s="67"/>
      <c r="B143" s="121"/>
    </row>
    <row r="144">
      <c r="A144" s="67"/>
      <c r="B144" s="121"/>
    </row>
    <row r="145">
      <c r="A145" s="67"/>
      <c r="B145" s="121"/>
    </row>
    <row r="146">
      <c r="A146" s="67"/>
      <c r="B146" s="121"/>
    </row>
    <row r="147">
      <c r="A147" s="67"/>
      <c r="B147" s="121"/>
    </row>
    <row r="148">
      <c r="A148" s="67"/>
      <c r="B148" s="121"/>
    </row>
    <row r="149">
      <c r="A149" s="67"/>
      <c r="B149" s="121"/>
    </row>
    <row r="150">
      <c r="A150" s="67"/>
      <c r="B150" s="121"/>
    </row>
    <row r="151">
      <c r="A151" s="67"/>
      <c r="B151" s="121"/>
    </row>
    <row r="152">
      <c r="A152" s="67"/>
      <c r="B152" s="121"/>
    </row>
    <row r="153">
      <c r="A153" s="67"/>
      <c r="B153" s="121"/>
    </row>
    <row r="154">
      <c r="A154" s="67"/>
      <c r="B154" s="121"/>
    </row>
    <row r="155">
      <c r="A155" s="67"/>
      <c r="B155" s="121"/>
    </row>
    <row r="156">
      <c r="A156" s="67"/>
      <c r="B156" s="121"/>
    </row>
    <row r="157">
      <c r="A157" s="67"/>
      <c r="B157" s="121"/>
    </row>
    <row r="158">
      <c r="A158" s="67"/>
      <c r="B158" s="121"/>
    </row>
    <row r="159">
      <c r="A159" s="67"/>
      <c r="B159" s="121"/>
    </row>
    <row r="160">
      <c r="A160" s="67"/>
      <c r="B160" s="121"/>
    </row>
    <row r="161">
      <c r="A161" s="67"/>
      <c r="B161" s="121"/>
    </row>
    <row r="162">
      <c r="A162" s="67"/>
      <c r="B162" s="121"/>
    </row>
    <row r="163">
      <c r="A163" s="67"/>
      <c r="B163" s="121"/>
    </row>
    <row r="164">
      <c r="A164" s="67"/>
      <c r="B164" s="121"/>
    </row>
    <row r="165">
      <c r="A165" s="67"/>
      <c r="B165" s="121"/>
    </row>
    <row r="166">
      <c r="A166" s="67"/>
      <c r="B166" s="121"/>
    </row>
    <row r="167">
      <c r="A167" s="67"/>
      <c r="B167" s="121"/>
    </row>
    <row r="168">
      <c r="A168" s="67"/>
      <c r="B168" s="121"/>
    </row>
    <row r="169">
      <c r="A169" s="67"/>
      <c r="B169" s="121"/>
    </row>
    <row r="170">
      <c r="A170" s="67"/>
      <c r="B170" s="121"/>
    </row>
    <row r="171">
      <c r="A171" s="67"/>
      <c r="B171" s="121"/>
    </row>
    <row r="172">
      <c r="A172" s="67"/>
      <c r="B172" s="121"/>
    </row>
    <row r="173">
      <c r="A173" s="67"/>
      <c r="B173" s="121"/>
    </row>
    <row r="174">
      <c r="A174" s="67"/>
      <c r="B174" s="121"/>
    </row>
    <row r="175">
      <c r="A175" s="67"/>
      <c r="B175" s="121"/>
    </row>
    <row r="176">
      <c r="A176" s="67"/>
      <c r="B176" s="121"/>
    </row>
    <row r="177">
      <c r="A177" s="67"/>
      <c r="B177" s="121"/>
    </row>
    <row r="178">
      <c r="A178" s="67"/>
      <c r="B178" s="121"/>
    </row>
    <row r="179">
      <c r="A179" s="67"/>
      <c r="B179" s="121"/>
    </row>
    <row r="180">
      <c r="A180" s="67"/>
      <c r="B180" s="121"/>
    </row>
    <row r="181">
      <c r="A181" s="67"/>
      <c r="B181" s="121"/>
    </row>
    <row r="182">
      <c r="A182" s="67"/>
      <c r="B182" s="121"/>
    </row>
    <row r="183">
      <c r="A183" s="67"/>
      <c r="B183" s="121"/>
    </row>
    <row r="184">
      <c r="A184" s="67"/>
      <c r="B184" s="121"/>
    </row>
    <row r="185">
      <c r="A185" s="67"/>
      <c r="B185" s="121"/>
    </row>
    <row r="186">
      <c r="A186" s="67"/>
      <c r="B186" s="121"/>
    </row>
    <row r="187">
      <c r="A187" s="67"/>
      <c r="B187" s="121"/>
    </row>
    <row r="188">
      <c r="A188" s="67"/>
      <c r="B188" s="121"/>
    </row>
    <row r="189">
      <c r="A189" s="67"/>
      <c r="B189" s="121"/>
    </row>
    <row r="190">
      <c r="A190" s="67"/>
      <c r="B190" s="121"/>
    </row>
    <row r="191">
      <c r="A191" s="67"/>
      <c r="B191" s="121"/>
    </row>
    <row r="192">
      <c r="A192" s="67"/>
      <c r="B192" s="121"/>
    </row>
    <row r="193">
      <c r="A193" s="67"/>
      <c r="B193" s="121"/>
    </row>
    <row r="194">
      <c r="A194" s="67"/>
      <c r="B194" s="121"/>
    </row>
    <row r="195">
      <c r="A195" s="67"/>
      <c r="B195" s="121"/>
    </row>
    <row r="196">
      <c r="A196" s="67"/>
      <c r="B196" s="121"/>
    </row>
    <row r="197">
      <c r="A197" s="67"/>
      <c r="B197" s="121"/>
    </row>
    <row r="198">
      <c r="A198" s="67"/>
      <c r="B198" s="121"/>
    </row>
    <row r="199">
      <c r="A199" s="67"/>
      <c r="B199" s="121"/>
    </row>
    <row r="200">
      <c r="A200" s="67"/>
      <c r="B200" s="121"/>
    </row>
    <row r="201">
      <c r="A201" s="67"/>
      <c r="B201" s="121"/>
    </row>
    <row r="202">
      <c r="A202" s="67"/>
      <c r="B202" s="121"/>
    </row>
    <row r="203">
      <c r="A203" s="67"/>
      <c r="B203" s="121"/>
    </row>
    <row r="204">
      <c r="A204" s="67"/>
      <c r="B204" s="121"/>
    </row>
    <row r="205">
      <c r="A205" s="67"/>
      <c r="B205" s="121"/>
    </row>
    <row r="206">
      <c r="A206" s="67"/>
      <c r="B206" s="121"/>
    </row>
    <row r="207">
      <c r="A207" s="67"/>
      <c r="B207" s="121"/>
    </row>
    <row r="208">
      <c r="A208" s="67"/>
      <c r="B208" s="121"/>
    </row>
    <row r="209">
      <c r="A209" s="67"/>
      <c r="B209" s="121"/>
    </row>
    <row r="210">
      <c r="A210" s="67"/>
      <c r="B210" s="121"/>
    </row>
    <row r="211">
      <c r="A211" s="67"/>
      <c r="B211" s="121"/>
    </row>
    <row r="212">
      <c r="A212" s="67"/>
      <c r="B212" s="121"/>
    </row>
    <row r="213">
      <c r="A213" s="67"/>
      <c r="B213" s="121"/>
    </row>
    <row r="214">
      <c r="A214" s="67"/>
      <c r="B214" s="121"/>
    </row>
    <row r="215">
      <c r="A215" s="67"/>
      <c r="B215" s="121"/>
    </row>
    <row r="216">
      <c r="A216" s="67"/>
      <c r="B216" s="121"/>
    </row>
    <row r="217">
      <c r="A217" s="67"/>
      <c r="B217" s="121"/>
    </row>
    <row r="218">
      <c r="A218" s="67"/>
      <c r="B218" s="121"/>
    </row>
    <row r="219">
      <c r="A219" s="67"/>
      <c r="B219" s="121"/>
    </row>
    <row r="220">
      <c r="A220" s="67"/>
      <c r="B220" s="121"/>
    </row>
    <row r="221">
      <c r="A221" s="67"/>
      <c r="B221" s="121"/>
    </row>
    <row r="222">
      <c r="A222" s="67"/>
      <c r="B222" s="121"/>
    </row>
    <row r="223">
      <c r="A223" s="67"/>
      <c r="B223" s="121"/>
    </row>
    <row r="224">
      <c r="A224" s="67"/>
      <c r="B224" s="121"/>
    </row>
    <row r="225">
      <c r="A225" s="67"/>
      <c r="B225" s="121"/>
    </row>
    <row r="226">
      <c r="A226" s="67"/>
      <c r="B226" s="121"/>
    </row>
    <row r="227">
      <c r="A227" s="67"/>
      <c r="B227" s="121"/>
    </row>
    <row r="228">
      <c r="A228" s="67"/>
      <c r="B228" s="121"/>
    </row>
    <row r="229">
      <c r="A229" s="67"/>
      <c r="B229" s="121"/>
    </row>
    <row r="230">
      <c r="A230" s="67"/>
      <c r="B230" s="121"/>
    </row>
    <row r="231">
      <c r="A231" s="67"/>
      <c r="B231" s="121"/>
    </row>
    <row r="232">
      <c r="A232" s="67"/>
      <c r="B232" s="121"/>
    </row>
    <row r="233">
      <c r="A233" s="67"/>
      <c r="B233" s="121"/>
    </row>
    <row r="234">
      <c r="A234" s="67"/>
      <c r="B234" s="121"/>
    </row>
    <row r="235">
      <c r="A235" s="67"/>
      <c r="B235" s="121"/>
    </row>
    <row r="236">
      <c r="A236" s="67"/>
      <c r="B236" s="121"/>
    </row>
    <row r="237">
      <c r="A237" s="67"/>
      <c r="B237" s="121"/>
    </row>
    <row r="238">
      <c r="A238" s="67"/>
      <c r="B238" s="121"/>
    </row>
    <row r="239">
      <c r="A239" s="67"/>
      <c r="B239" s="121"/>
    </row>
    <row r="240">
      <c r="A240" s="67"/>
      <c r="B240" s="121"/>
    </row>
    <row r="241">
      <c r="A241" s="67"/>
      <c r="B241" s="121"/>
    </row>
    <row r="242">
      <c r="A242" s="67"/>
      <c r="B242" s="121"/>
    </row>
    <row r="243">
      <c r="A243" s="67"/>
      <c r="B243" s="121"/>
    </row>
    <row r="244">
      <c r="A244" s="67"/>
      <c r="B244" s="121"/>
    </row>
    <row r="245">
      <c r="A245" s="67"/>
      <c r="B245" s="121"/>
    </row>
    <row r="246">
      <c r="A246" s="67"/>
      <c r="B246" s="121"/>
    </row>
    <row r="247">
      <c r="A247" s="67"/>
      <c r="B247" s="121"/>
    </row>
    <row r="248">
      <c r="A248" s="67"/>
      <c r="B248" s="121"/>
    </row>
    <row r="249">
      <c r="A249" s="67"/>
      <c r="B249" s="121"/>
    </row>
    <row r="250">
      <c r="A250" s="67"/>
      <c r="B250" s="121"/>
    </row>
    <row r="251">
      <c r="A251" s="67"/>
      <c r="B251" s="121"/>
    </row>
    <row r="252">
      <c r="A252" s="67"/>
      <c r="B252" s="121"/>
    </row>
    <row r="253">
      <c r="A253" s="67"/>
      <c r="B253" s="121"/>
    </row>
    <row r="254">
      <c r="A254" s="67"/>
      <c r="B254" s="121"/>
    </row>
    <row r="255">
      <c r="A255" s="67"/>
      <c r="B255" s="121"/>
    </row>
    <row r="256">
      <c r="A256" s="67"/>
      <c r="B256" s="121"/>
    </row>
    <row r="257">
      <c r="A257" s="67"/>
      <c r="B257" s="121"/>
    </row>
    <row r="258">
      <c r="A258" s="67"/>
      <c r="B258" s="121"/>
    </row>
    <row r="259">
      <c r="A259" s="67"/>
      <c r="B259" s="121"/>
    </row>
    <row r="260">
      <c r="A260" s="67"/>
      <c r="B260" s="121"/>
    </row>
    <row r="261">
      <c r="A261" s="67"/>
      <c r="B261" s="121"/>
    </row>
    <row r="262">
      <c r="A262" s="67"/>
      <c r="B262" s="121"/>
    </row>
    <row r="263">
      <c r="A263" s="67"/>
      <c r="B263" s="121"/>
    </row>
    <row r="264">
      <c r="A264" s="67"/>
      <c r="B264" s="121"/>
    </row>
    <row r="265">
      <c r="A265" s="67"/>
      <c r="B265" s="121"/>
    </row>
    <row r="266">
      <c r="A266" s="67"/>
      <c r="B266" s="121"/>
    </row>
    <row r="267">
      <c r="A267" s="67"/>
      <c r="B267" s="121"/>
    </row>
    <row r="268">
      <c r="A268" s="67"/>
      <c r="B268" s="121"/>
    </row>
    <row r="269">
      <c r="A269" s="67"/>
      <c r="B269" s="121"/>
    </row>
    <row r="270">
      <c r="A270" s="67"/>
      <c r="B270" s="121"/>
    </row>
    <row r="271">
      <c r="A271" s="67"/>
      <c r="B271" s="121"/>
    </row>
    <row r="272">
      <c r="A272" s="67"/>
      <c r="B272" s="121"/>
    </row>
    <row r="273">
      <c r="A273" s="67"/>
      <c r="B273" s="121"/>
    </row>
    <row r="274">
      <c r="A274" s="67"/>
      <c r="B274" s="121"/>
    </row>
    <row r="275">
      <c r="A275" s="67"/>
      <c r="B275" s="121"/>
    </row>
    <row r="276">
      <c r="A276" s="67"/>
      <c r="B276" s="121"/>
    </row>
    <row r="277">
      <c r="A277" s="67"/>
      <c r="B277" s="121"/>
    </row>
    <row r="278">
      <c r="A278" s="67"/>
      <c r="B278" s="121"/>
    </row>
    <row r="279">
      <c r="A279" s="67"/>
      <c r="B279" s="121"/>
    </row>
    <row r="280">
      <c r="A280" s="67"/>
      <c r="B280" s="121"/>
    </row>
    <row r="281">
      <c r="A281" s="67"/>
      <c r="B281" s="121"/>
    </row>
    <row r="282">
      <c r="A282" s="67"/>
      <c r="B282" s="121"/>
    </row>
    <row r="283">
      <c r="A283" s="67"/>
      <c r="B283" s="121"/>
    </row>
    <row r="284">
      <c r="A284" s="67"/>
      <c r="B284" s="121"/>
    </row>
    <row r="285">
      <c r="A285" s="67"/>
      <c r="B285" s="121"/>
    </row>
    <row r="286">
      <c r="A286" s="67"/>
      <c r="B286" s="121"/>
    </row>
    <row r="287">
      <c r="A287" s="67"/>
      <c r="B287" s="121"/>
    </row>
    <row r="288">
      <c r="A288" s="67"/>
      <c r="B288" s="121"/>
    </row>
    <row r="289">
      <c r="A289" s="67"/>
      <c r="B289" s="121"/>
    </row>
    <row r="290">
      <c r="A290" s="67"/>
      <c r="B290" s="121"/>
    </row>
    <row r="291">
      <c r="A291" s="67"/>
      <c r="B291" s="121"/>
    </row>
    <row r="292">
      <c r="A292" s="67"/>
      <c r="B292" s="121"/>
    </row>
    <row r="293">
      <c r="A293" s="67"/>
      <c r="B293" s="121"/>
    </row>
    <row r="294">
      <c r="A294" s="67"/>
      <c r="B294" s="121"/>
    </row>
    <row r="295">
      <c r="A295" s="67"/>
      <c r="B295" s="121"/>
    </row>
    <row r="296">
      <c r="A296" s="67"/>
      <c r="B296" s="121"/>
    </row>
    <row r="297">
      <c r="A297" s="67"/>
      <c r="B297" s="121"/>
    </row>
    <row r="298">
      <c r="A298" s="67"/>
      <c r="B298" s="121"/>
    </row>
    <row r="299">
      <c r="A299" s="67"/>
      <c r="B299" s="121"/>
    </row>
    <row r="300">
      <c r="A300" s="67"/>
      <c r="B300" s="121"/>
    </row>
    <row r="301">
      <c r="A301" s="67"/>
      <c r="B301" s="121"/>
    </row>
    <row r="302">
      <c r="A302" s="67"/>
      <c r="B302" s="121"/>
    </row>
    <row r="303">
      <c r="A303" s="67"/>
      <c r="B303" s="121"/>
    </row>
    <row r="304">
      <c r="A304" s="67"/>
      <c r="B304" s="121"/>
    </row>
    <row r="305">
      <c r="A305" s="67"/>
      <c r="B305" s="121"/>
    </row>
    <row r="306">
      <c r="A306" s="67"/>
      <c r="B306" s="121"/>
    </row>
    <row r="307">
      <c r="A307" s="67"/>
      <c r="B307" s="121"/>
    </row>
    <row r="308">
      <c r="A308" s="67"/>
      <c r="B308" s="121"/>
    </row>
    <row r="309">
      <c r="A309" s="67"/>
      <c r="B309" s="121"/>
    </row>
    <row r="310">
      <c r="A310" s="67"/>
      <c r="B310" s="121"/>
    </row>
    <row r="311">
      <c r="A311" s="67"/>
      <c r="B311" s="121"/>
    </row>
    <row r="312">
      <c r="A312" s="67"/>
      <c r="B312" s="121"/>
    </row>
    <row r="313">
      <c r="A313" s="67"/>
      <c r="B313" s="121"/>
    </row>
    <row r="314">
      <c r="A314" s="67"/>
      <c r="B314" s="121"/>
    </row>
    <row r="315">
      <c r="A315" s="67"/>
      <c r="B315" s="121"/>
    </row>
    <row r="316">
      <c r="A316" s="67"/>
      <c r="B316" s="121"/>
    </row>
    <row r="317">
      <c r="A317" s="67"/>
      <c r="B317" s="121"/>
    </row>
    <row r="318">
      <c r="A318" s="67"/>
      <c r="B318" s="121"/>
    </row>
    <row r="319">
      <c r="A319" s="67"/>
      <c r="B319" s="121"/>
    </row>
    <row r="320">
      <c r="A320" s="67"/>
      <c r="B320" s="121"/>
    </row>
    <row r="321">
      <c r="A321" s="67"/>
      <c r="B321" s="121"/>
    </row>
    <row r="322">
      <c r="A322" s="67"/>
      <c r="B322" s="121"/>
    </row>
    <row r="323">
      <c r="A323" s="67"/>
      <c r="B323" s="121"/>
    </row>
    <row r="324">
      <c r="A324" s="67"/>
      <c r="B324" s="121"/>
    </row>
    <row r="325">
      <c r="A325" s="67"/>
      <c r="B325" s="121"/>
    </row>
    <row r="326">
      <c r="A326" s="67"/>
      <c r="B326" s="121"/>
    </row>
    <row r="327">
      <c r="A327" s="67"/>
      <c r="B327" s="121"/>
    </row>
    <row r="328">
      <c r="A328" s="67"/>
      <c r="B328" s="121"/>
    </row>
    <row r="329">
      <c r="A329" s="67"/>
      <c r="B329" s="121"/>
    </row>
    <row r="330">
      <c r="A330" s="67"/>
      <c r="B330" s="121"/>
    </row>
    <row r="331">
      <c r="A331" s="67"/>
      <c r="B331" s="121"/>
    </row>
    <row r="332">
      <c r="A332" s="67"/>
      <c r="B332" s="121"/>
    </row>
    <row r="333">
      <c r="A333" s="67"/>
      <c r="B333" s="121"/>
    </row>
    <row r="334">
      <c r="A334" s="67"/>
      <c r="B334" s="121"/>
    </row>
    <row r="335">
      <c r="A335" s="67"/>
      <c r="B335" s="121"/>
    </row>
    <row r="336">
      <c r="A336" s="67"/>
      <c r="B336" s="121"/>
    </row>
    <row r="337">
      <c r="A337" s="67"/>
      <c r="B337" s="121"/>
    </row>
    <row r="338">
      <c r="A338" s="67"/>
      <c r="B338" s="121"/>
    </row>
    <row r="339">
      <c r="A339" s="67"/>
      <c r="B339" s="121"/>
    </row>
    <row r="340">
      <c r="A340" s="67"/>
      <c r="B340" s="121"/>
    </row>
    <row r="341">
      <c r="A341" s="67"/>
      <c r="B341" s="121"/>
    </row>
    <row r="342">
      <c r="A342" s="67"/>
      <c r="B342" s="121"/>
    </row>
    <row r="343">
      <c r="A343" s="67"/>
      <c r="B343" s="121"/>
    </row>
    <row r="344">
      <c r="A344" s="67"/>
      <c r="B344" s="121"/>
    </row>
    <row r="345">
      <c r="A345" s="67"/>
      <c r="B345" s="121"/>
    </row>
    <row r="346">
      <c r="A346" s="67"/>
      <c r="B346" s="121"/>
    </row>
    <row r="347">
      <c r="A347" s="67"/>
      <c r="B347" s="121"/>
    </row>
    <row r="348">
      <c r="A348" s="67"/>
      <c r="B348" s="121"/>
    </row>
    <row r="349">
      <c r="A349" s="67"/>
      <c r="B349" s="121"/>
    </row>
    <row r="350">
      <c r="A350" s="67"/>
      <c r="B350" s="121"/>
    </row>
    <row r="351">
      <c r="A351" s="67"/>
      <c r="B351" s="121"/>
    </row>
    <row r="352">
      <c r="A352" s="67"/>
      <c r="B352" s="121"/>
    </row>
    <row r="353">
      <c r="A353" s="67"/>
      <c r="B353" s="121"/>
    </row>
    <row r="354">
      <c r="A354" s="67"/>
      <c r="B354" s="121"/>
    </row>
    <row r="355">
      <c r="A355" s="67"/>
      <c r="B355" s="121"/>
    </row>
    <row r="356">
      <c r="A356" s="67"/>
      <c r="B356" s="121"/>
    </row>
    <row r="357">
      <c r="A357" s="67"/>
      <c r="B357" s="121"/>
    </row>
    <row r="358">
      <c r="A358" s="67"/>
      <c r="B358" s="121"/>
    </row>
    <row r="359">
      <c r="A359" s="67"/>
      <c r="B359" s="121"/>
    </row>
    <row r="360">
      <c r="A360" s="67"/>
      <c r="B360" s="121"/>
    </row>
    <row r="361">
      <c r="A361" s="67"/>
      <c r="B361" s="121"/>
    </row>
    <row r="362">
      <c r="A362" s="67"/>
      <c r="B362" s="121"/>
    </row>
    <row r="363">
      <c r="A363" s="67"/>
      <c r="B363" s="121"/>
    </row>
    <row r="364">
      <c r="A364" s="67"/>
      <c r="B364" s="121"/>
    </row>
    <row r="365">
      <c r="A365" s="67"/>
      <c r="B365" s="121"/>
    </row>
    <row r="366">
      <c r="A366" s="67"/>
      <c r="B366" s="121"/>
    </row>
    <row r="367">
      <c r="A367" s="67"/>
      <c r="B367" s="121"/>
    </row>
    <row r="368">
      <c r="A368" s="67"/>
      <c r="B368" s="121"/>
    </row>
    <row r="369">
      <c r="A369" s="67"/>
      <c r="B369" s="121"/>
    </row>
    <row r="370">
      <c r="A370" s="67"/>
      <c r="B370" s="121"/>
    </row>
    <row r="371">
      <c r="A371" s="67"/>
      <c r="B371" s="121"/>
    </row>
    <row r="372">
      <c r="A372" s="67"/>
      <c r="B372" s="121"/>
    </row>
    <row r="373">
      <c r="A373" s="67"/>
      <c r="B373" s="121"/>
    </row>
    <row r="374">
      <c r="A374" s="67"/>
      <c r="B374" s="121"/>
    </row>
    <row r="375">
      <c r="A375" s="67"/>
      <c r="B375" s="121"/>
    </row>
    <row r="376">
      <c r="A376" s="67"/>
      <c r="B376" s="121"/>
    </row>
    <row r="377">
      <c r="A377" s="67"/>
      <c r="B377" s="121"/>
    </row>
    <row r="378">
      <c r="A378" s="67"/>
      <c r="B378" s="121"/>
    </row>
    <row r="379">
      <c r="A379" s="67"/>
      <c r="B379" s="121"/>
    </row>
    <row r="380">
      <c r="A380" s="67"/>
      <c r="B380" s="121"/>
    </row>
    <row r="381">
      <c r="A381" s="67"/>
      <c r="B381" s="121"/>
    </row>
    <row r="382">
      <c r="A382" s="67"/>
      <c r="B382" s="121"/>
    </row>
    <row r="383">
      <c r="A383" s="67"/>
      <c r="B383" s="121"/>
    </row>
    <row r="384">
      <c r="A384" s="67"/>
      <c r="B384" s="121"/>
    </row>
    <row r="385">
      <c r="A385" s="67"/>
      <c r="B385" s="121"/>
    </row>
    <row r="386">
      <c r="A386" s="67"/>
      <c r="B386" s="121"/>
    </row>
    <row r="387">
      <c r="A387" s="67"/>
      <c r="B387" s="121"/>
    </row>
    <row r="388">
      <c r="A388" s="67"/>
      <c r="B388" s="121"/>
    </row>
    <row r="389">
      <c r="A389" s="67"/>
      <c r="B389" s="121"/>
    </row>
    <row r="390">
      <c r="A390" s="67"/>
      <c r="B390" s="121"/>
    </row>
    <row r="391">
      <c r="A391" s="67"/>
      <c r="B391" s="121"/>
    </row>
    <row r="392">
      <c r="A392" s="67"/>
      <c r="B392" s="121"/>
    </row>
    <row r="393">
      <c r="A393" s="67"/>
      <c r="B393" s="121"/>
    </row>
    <row r="394">
      <c r="A394" s="67"/>
      <c r="B394" s="121"/>
    </row>
    <row r="395">
      <c r="A395" s="67"/>
      <c r="B395" s="121"/>
    </row>
    <row r="396">
      <c r="A396" s="67"/>
      <c r="B396" s="121"/>
    </row>
    <row r="397">
      <c r="A397" s="67"/>
      <c r="B397" s="121"/>
    </row>
    <row r="398">
      <c r="A398" s="67"/>
      <c r="B398" s="121"/>
    </row>
    <row r="399">
      <c r="A399" s="67"/>
      <c r="B399" s="121"/>
    </row>
    <row r="400">
      <c r="A400" s="67"/>
      <c r="B400" s="121"/>
    </row>
    <row r="401">
      <c r="A401" s="67"/>
      <c r="B401" s="121"/>
    </row>
    <row r="402">
      <c r="A402" s="67"/>
      <c r="B402" s="121"/>
    </row>
    <row r="403">
      <c r="A403" s="67"/>
      <c r="B403" s="121"/>
    </row>
    <row r="404">
      <c r="A404" s="67"/>
      <c r="B404" s="121"/>
    </row>
    <row r="405">
      <c r="A405" s="67"/>
      <c r="B405" s="121"/>
    </row>
    <row r="406">
      <c r="A406" s="67"/>
      <c r="B406" s="121"/>
    </row>
    <row r="407">
      <c r="A407" s="67"/>
      <c r="B407" s="121"/>
    </row>
    <row r="408">
      <c r="A408" s="67"/>
      <c r="B408" s="121"/>
    </row>
    <row r="409">
      <c r="A409" s="67"/>
      <c r="B409" s="121"/>
    </row>
    <row r="410">
      <c r="A410" s="67"/>
      <c r="B410" s="121"/>
    </row>
    <row r="411">
      <c r="A411" s="67"/>
      <c r="B411" s="121"/>
    </row>
    <row r="412">
      <c r="A412" s="67"/>
      <c r="B412" s="121"/>
    </row>
    <row r="413">
      <c r="A413" s="67"/>
      <c r="B413" s="121"/>
    </row>
    <row r="414">
      <c r="A414" s="67"/>
      <c r="B414" s="121"/>
    </row>
    <row r="415">
      <c r="A415" s="67"/>
      <c r="B415" s="121"/>
    </row>
    <row r="416">
      <c r="A416" s="67"/>
      <c r="B416" s="121"/>
    </row>
    <row r="417">
      <c r="A417" s="67"/>
      <c r="B417" s="121"/>
    </row>
    <row r="418">
      <c r="A418" s="67"/>
      <c r="B418" s="121"/>
    </row>
    <row r="419">
      <c r="A419" s="67"/>
      <c r="B419" s="121"/>
    </row>
    <row r="420">
      <c r="A420" s="67"/>
      <c r="B420" s="121"/>
    </row>
    <row r="421">
      <c r="A421" s="67"/>
      <c r="B421" s="121"/>
    </row>
    <row r="422">
      <c r="A422" s="67"/>
      <c r="B422" s="121"/>
    </row>
    <row r="423">
      <c r="A423" s="67"/>
      <c r="B423" s="121"/>
    </row>
    <row r="424">
      <c r="A424" s="67"/>
      <c r="B424" s="121"/>
    </row>
    <row r="425">
      <c r="A425" s="67"/>
      <c r="B425" s="121"/>
    </row>
    <row r="426">
      <c r="A426" s="67"/>
      <c r="B426" s="121"/>
    </row>
    <row r="427">
      <c r="A427" s="67"/>
      <c r="B427" s="121"/>
    </row>
    <row r="428">
      <c r="A428" s="67"/>
      <c r="B428" s="121"/>
    </row>
    <row r="429">
      <c r="A429" s="67"/>
      <c r="B429" s="121"/>
    </row>
    <row r="430">
      <c r="A430" s="67"/>
      <c r="B430" s="121"/>
    </row>
    <row r="431">
      <c r="A431" s="67"/>
      <c r="B431" s="121"/>
    </row>
    <row r="432">
      <c r="A432" s="67"/>
      <c r="B432" s="121"/>
    </row>
    <row r="433">
      <c r="A433" s="67"/>
      <c r="B433" s="121"/>
    </row>
    <row r="434">
      <c r="A434" s="67"/>
      <c r="B434" s="121"/>
    </row>
    <row r="435">
      <c r="A435" s="67"/>
      <c r="B435" s="121"/>
    </row>
    <row r="436">
      <c r="A436" s="67"/>
      <c r="B436" s="121"/>
    </row>
    <row r="437">
      <c r="A437" s="67"/>
      <c r="B437" s="121"/>
    </row>
    <row r="438">
      <c r="A438" s="67"/>
      <c r="B438" s="121"/>
    </row>
    <row r="439">
      <c r="A439" s="67"/>
      <c r="B439" s="121"/>
    </row>
    <row r="440">
      <c r="A440" s="67"/>
      <c r="B440" s="121"/>
    </row>
    <row r="441">
      <c r="A441" s="67"/>
      <c r="B441" s="121"/>
    </row>
    <row r="442">
      <c r="A442" s="67"/>
      <c r="B442" s="121"/>
    </row>
    <row r="443">
      <c r="A443" s="67"/>
      <c r="B443" s="121"/>
    </row>
    <row r="444">
      <c r="A444" s="67"/>
      <c r="B444" s="121"/>
    </row>
    <row r="445">
      <c r="A445" s="67"/>
      <c r="B445" s="121"/>
    </row>
    <row r="446">
      <c r="A446" s="67"/>
      <c r="B446" s="121"/>
    </row>
    <row r="447">
      <c r="A447" s="67"/>
      <c r="B447" s="121"/>
    </row>
    <row r="448">
      <c r="A448" s="67"/>
      <c r="B448" s="121"/>
    </row>
    <row r="449">
      <c r="A449" s="67"/>
      <c r="B449" s="121"/>
    </row>
    <row r="450">
      <c r="A450" s="67"/>
      <c r="B450" s="121"/>
    </row>
    <row r="451">
      <c r="A451" s="67"/>
      <c r="B451" s="121"/>
    </row>
    <row r="452">
      <c r="A452" s="67"/>
      <c r="B452" s="121"/>
    </row>
    <row r="453">
      <c r="A453" s="67"/>
      <c r="B453" s="121"/>
    </row>
    <row r="454">
      <c r="A454" s="67"/>
      <c r="B454" s="121"/>
    </row>
    <row r="455">
      <c r="A455" s="67"/>
      <c r="B455" s="121"/>
    </row>
    <row r="456">
      <c r="A456" s="67"/>
      <c r="B456" s="121"/>
    </row>
    <row r="457">
      <c r="A457" s="67"/>
      <c r="B457" s="121"/>
    </row>
    <row r="458">
      <c r="A458" s="67"/>
      <c r="B458" s="121"/>
    </row>
    <row r="459">
      <c r="A459" s="67"/>
      <c r="B459" s="121"/>
    </row>
    <row r="460">
      <c r="A460" s="67"/>
      <c r="B460" s="121"/>
    </row>
    <row r="461">
      <c r="A461" s="67"/>
      <c r="B461" s="121"/>
    </row>
    <row r="462">
      <c r="A462" s="67"/>
      <c r="B462" s="121"/>
    </row>
    <row r="463">
      <c r="A463" s="67"/>
      <c r="B463" s="121"/>
    </row>
    <row r="464">
      <c r="A464" s="67"/>
      <c r="B464" s="121"/>
    </row>
    <row r="465">
      <c r="A465" s="67"/>
      <c r="B465" s="121"/>
    </row>
    <row r="466">
      <c r="A466" s="67"/>
      <c r="B466" s="121"/>
    </row>
    <row r="467">
      <c r="A467" s="67"/>
      <c r="B467" s="121"/>
    </row>
    <row r="468">
      <c r="A468" s="67"/>
      <c r="B468" s="121"/>
    </row>
    <row r="469">
      <c r="A469" s="67"/>
      <c r="B469" s="121"/>
    </row>
    <row r="470">
      <c r="A470" s="67"/>
      <c r="B470" s="121"/>
    </row>
    <row r="471">
      <c r="A471" s="67"/>
      <c r="B471" s="121"/>
    </row>
    <row r="472">
      <c r="A472" s="67"/>
      <c r="B472" s="121"/>
    </row>
    <row r="473">
      <c r="A473" s="67"/>
      <c r="B473" s="121"/>
    </row>
    <row r="474">
      <c r="A474" s="67"/>
      <c r="B474" s="121"/>
    </row>
    <row r="475">
      <c r="A475" s="67"/>
      <c r="B475" s="121"/>
    </row>
    <row r="476">
      <c r="A476" s="67"/>
      <c r="B476" s="121"/>
    </row>
    <row r="477">
      <c r="A477" s="67"/>
      <c r="B477" s="121"/>
    </row>
    <row r="478">
      <c r="A478" s="67"/>
      <c r="B478" s="121"/>
    </row>
    <row r="479">
      <c r="A479" s="67"/>
      <c r="B479" s="121"/>
    </row>
    <row r="480">
      <c r="A480" s="67"/>
      <c r="B480" s="121"/>
    </row>
    <row r="481">
      <c r="A481" s="67"/>
      <c r="B481" s="121"/>
    </row>
    <row r="482">
      <c r="A482" s="67"/>
      <c r="B482" s="121"/>
    </row>
    <row r="483">
      <c r="A483" s="67"/>
      <c r="B483" s="121"/>
    </row>
    <row r="484">
      <c r="A484" s="67"/>
      <c r="B484" s="121"/>
    </row>
    <row r="485">
      <c r="A485" s="67"/>
      <c r="B485" s="121"/>
    </row>
    <row r="486">
      <c r="A486" s="67"/>
      <c r="B486" s="121"/>
    </row>
    <row r="487">
      <c r="A487" s="67"/>
      <c r="B487" s="121"/>
    </row>
    <row r="488">
      <c r="A488" s="67"/>
      <c r="B488" s="121"/>
    </row>
    <row r="489">
      <c r="A489" s="67"/>
      <c r="B489" s="121"/>
    </row>
    <row r="490">
      <c r="A490" s="67"/>
      <c r="B490" s="121"/>
    </row>
    <row r="491">
      <c r="A491" s="67"/>
      <c r="B491" s="121"/>
    </row>
    <row r="492">
      <c r="A492" s="67"/>
      <c r="B492" s="121"/>
    </row>
    <row r="493">
      <c r="A493" s="67"/>
      <c r="B493" s="121"/>
    </row>
    <row r="494">
      <c r="A494" s="67"/>
      <c r="B494" s="121"/>
    </row>
    <row r="495">
      <c r="A495" s="67"/>
      <c r="B495" s="121"/>
    </row>
    <row r="496">
      <c r="A496" s="67"/>
      <c r="B496" s="121"/>
    </row>
    <row r="497">
      <c r="A497" s="67"/>
      <c r="B497" s="121"/>
    </row>
    <row r="498">
      <c r="A498" s="67"/>
      <c r="B498" s="121"/>
    </row>
    <row r="499">
      <c r="A499" s="67"/>
      <c r="B499" s="121"/>
    </row>
    <row r="500">
      <c r="A500" s="67"/>
      <c r="B500" s="121"/>
    </row>
    <row r="501">
      <c r="A501" s="67"/>
      <c r="B501" s="121"/>
    </row>
    <row r="502">
      <c r="A502" s="67"/>
      <c r="B502" s="121"/>
    </row>
    <row r="503">
      <c r="A503" s="67"/>
      <c r="B503" s="121"/>
    </row>
    <row r="504">
      <c r="A504" s="67"/>
      <c r="B504" s="121"/>
    </row>
    <row r="505">
      <c r="A505" s="67"/>
      <c r="B505" s="121"/>
    </row>
    <row r="506">
      <c r="A506" s="67"/>
      <c r="B506" s="121"/>
    </row>
    <row r="507">
      <c r="A507" s="67"/>
      <c r="B507" s="121"/>
    </row>
    <row r="508">
      <c r="A508" s="67"/>
      <c r="B508" s="121"/>
    </row>
    <row r="509">
      <c r="A509" s="67"/>
      <c r="B509" s="121"/>
    </row>
    <row r="510">
      <c r="A510" s="67"/>
      <c r="B510" s="121"/>
    </row>
    <row r="511">
      <c r="A511" s="67"/>
      <c r="B511" s="121"/>
    </row>
    <row r="512">
      <c r="A512" s="67"/>
      <c r="B512" s="121"/>
    </row>
    <row r="513">
      <c r="A513" s="67"/>
      <c r="B513" s="121"/>
    </row>
    <row r="514">
      <c r="A514" s="67"/>
      <c r="B514" s="121"/>
    </row>
    <row r="515">
      <c r="A515" s="67"/>
      <c r="B515" s="121"/>
    </row>
    <row r="516">
      <c r="A516" s="67"/>
      <c r="B516" s="121"/>
    </row>
    <row r="517">
      <c r="A517" s="67"/>
      <c r="B517" s="121"/>
    </row>
    <row r="518">
      <c r="A518" s="67"/>
      <c r="B518" s="121"/>
    </row>
    <row r="519">
      <c r="A519" s="67"/>
      <c r="B519" s="121"/>
    </row>
    <row r="520">
      <c r="A520" s="67"/>
      <c r="B520" s="121"/>
    </row>
    <row r="521">
      <c r="A521" s="67"/>
      <c r="B521" s="121"/>
    </row>
    <row r="522">
      <c r="A522" s="67"/>
      <c r="B522" s="121"/>
    </row>
    <row r="523">
      <c r="A523" s="67"/>
      <c r="B523" s="121"/>
    </row>
    <row r="524">
      <c r="A524" s="67"/>
      <c r="B524" s="121"/>
    </row>
    <row r="525">
      <c r="A525" s="67"/>
      <c r="B525" s="121"/>
    </row>
    <row r="526">
      <c r="A526" s="67"/>
      <c r="B526" s="121"/>
    </row>
    <row r="527">
      <c r="A527" s="67"/>
      <c r="B527" s="121"/>
    </row>
    <row r="528">
      <c r="A528" s="67"/>
      <c r="B528" s="121"/>
    </row>
    <row r="529">
      <c r="A529" s="67"/>
      <c r="B529" s="121"/>
    </row>
    <row r="530">
      <c r="A530" s="67"/>
      <c r="B530" s="121"/>
    </row>
    <row r="531">
      <c r="A531" s="67"/>
      <c r="B531" s="121"/>
    </row>
    <row r="532">
      <c r="A532" s="67"/>
      <c r="B532" s="121"/>
    </row>
    <row r="533">
      <c r="A533" s="67"/>
      <c r="B533" s="121"/>
    </row>
    <row r="534">
      <c r="A534" s="67"/>
      <c r="B534" s="121"/>
    </row>
    <row r="535">
      <c r="A535" s="67"/>
      <c r="B535" s="121"/>
    </row>
    <row r="536">
      <c r="A536" s="67"/>
      <c r="B536" s="121"/>
    </row>
    <row r="537">
      <c r="A537" s="67"/>
      <c r="B537" s="121"/>
    </row>
    <row r="538">
      <c r="A538" s="67"/>
      <c r="B538" s="121"/>
    </row>
    <row r="539">
      <c r="A539" s="67"/>
      <c r="B539" s="121"/>
    </row>
    <row r="540">
      <c r="A540" s="67"/>
      <c r="B540" s="121"/>
    </row>
    <row r="541">
      <c r="A541" s="67"/>
      <c r="B541" s="121"/>
    </row>
    <row r="542">
      <c r="A542" s="67"/>
      <c r="B542" s="121"/>
    </row>
    <row r="543">
      <c r="A543" s="67"/>
      <c r="B543" s="121"/>
    </row>
    <row r="544">
      <c r="A544" s="67"/>
      <c r="B544" s="121"/>
    </row>
    <row r="545">
      <c r="A545" s="67"/>
      <c r="B545" s="121"/>
    </row>
    <row r="546">
      <c r="A546" s="67"/>
      <c r="B546" s="121"/>
    </row>
    <row r="547">
      <c r="A547" s="67"/>
      <c r="B547" s="121"/>
    </row>
    <row r="548">
      <c r="A548" s="67"/>
      <c r="B548" s="121"/>
    </row>
    <row r="549">
      <c r="A549" s="67"/>
      <c r="B549" s="121"/>
    </row>
    <row r="550">
      <c r="A550" s="67"/>
      <c r="B550" s="121"/>
    </row>
    <row r="551">
      <c r="A551" s="67"/>
      <c r="B551" s="121"/>
    </row>
    <row r="552">
      <c r="A552" s="67"/>
      <c r="B552" s="121"/>
    </row>
    <row r="553">
      <c r="A553" s="67"/>
      <c r="B553" s="121"/>
    </row>
    <row r="554">
      <c r="A554" s="67"/>
      <c r="B554" s="121"/>
    </row>
    <row r="555">
      <c r="A555" s="67"/>
      <c r="B555" s="121"/>
    </row>
    <row r="556">
      <c r="A556" s="67"/>
      <c r="B556" s="121"/>
    </row>
    <row r="557">
      <c r="A557" s="67"/>
      <c r="B557" s="121"/>
    </row>
    <row r="558">
      <c r="A558" s="67"/>
      <c r="B558" s="121"/>
    </row>
    <row r="559">
      <c r="A559" s="67"/>
      <c r="B559" s="121"/>
    </row>
    <row r="560">
      <c r="A560" s="67"/>
      <c r="B560" s="121"/>
    </row>
    <row r="561">
      <c r="A561" s="67"/>
      <c r="B561" s="121"/>
    </row>
    <row r="562">
      <c r="A562" s="67"/>
      <c r="B562" s="121"/>
    </row>
    <row r="563">
      <c r="A563" s="67"/>
      <c r="B563" s="121"/>
    </row>
    <row r="564">
      <c r="A564" s="67"/>
      <c r="B564" s="121"/>
    </row>
    <row r="565">
      <c r="A565" s="67"/>
      <c r="B565" s="121"/>
    </row>
    <row r="566">
      <c r="A566" s="67"/>
      <c r="B566" s="121"/>
    </row>
    <row r="567">
      <c r="A567" s="67"/>
      <c r="B567" s="121"/>
    </row>
    <row r="568">
      <c r="A568" s="67"/>
      <c r="B568" s="121"/>
    </row>
    <row r="569">
      <c r="A569" s="67"/>
      <c r="B569" s="121"/>
    </row>
    <row r="570">
      <c r="A570" s="67"/>
      <c r="B570" s="121"/>
    </row>
    <row r="571">
      <c r="A571" s="67"/>
      <c r="B571" s="121"/>
    </row>
    <row r="572">
      <c r="A572" s="67"/>
      <c r="B572" s="121"/>
    </row>
    <row r="573">
      <c r="A573" s="67"/>
      <c r="B573" s="121"/>
    </row>
    <row r="574">
      <c r="A574" s="67"/>
      <c r="B574" s="121"/>
    </row>
    <row r="575">
      <c r="A575" s="67"/>
      <c r="B575" s="121"/>
    </row>
    <row r="576">
      <c r="A576" s="67"/>
      <c r="B576" s="121"/>
    </row>
    <row r="577">
      <c r="A577" s="67"/>
      <c r="B577" s="121"/>
    </row>
    <row r="578">
      <c r="A578" s="67"/>
      <c r="B578" s="121"/>
    </row>
    <row r="579">
      <c r="A579" s="67"/>
      <c r="B579" s="121"/>
    </row>
    <row r="580">
      <c r="A580" s="67"/>
      <c r="B580" s="121"/>
    </row>
    <row r="581">
      <c r="A581" s="67"/>
      <c r="B581" s="121"/>
    </row>
    <row r="582">
      <c r="A582" s="67"/>
      <c r="B582" s="121"/>
    </row>
    <row r="583">
      <c r="A583" s="67"/>
      <c r="B583" s="121"/>
    </row>
    <row r="584">
      <c r="A584" s="67"/>
      <c r="B584" s="121"/>
    </row>
    <row r="585">
      <c r="A585" s="67"/>
      <c r="B585" s="121"/>
    </row>
    <row r="586">
      <c r="A586" s="67"/>
      <c r="B586" s="121"/>
    </row>
    <row r="587">
      <c r="A587" s="67"/>
      <c r="B587" s="121"/>
    </row>
    <row r="588">
      <c r="A588" s="67"/>
      <c r="B588" s="121"/>
    </row>
    <row r="589">
      <c r="A589" s="67"/>
      <c r="B589" s="121"/>
    </row>
    <row r="590">
      <c r="A590" s="67"/>
      <c r="B590" s="121"/>
    </row>
    <row r="591">
      <c r="A591" s="67"/>
      <c r="B591" s="121"/>
    </row>
    <row r="592">
      <c r="A592" s="67"/>
      <c r="B592" s="121"/>
    </row>
    <row r="593">
      <c r="A593" s="67"/>
      <c r="B593" s="121"/>
    </row>
    <row r="594">
      <c r="A594" s="67"/>
      <c r="B594" s="121"/>
    </row>
    <row r="595">
      <c r="A595" s="67"/>
      <c r="B595" s="121"/>
    </row>
    <row r="596">
      <c r="A596" s="67"/>
      <c r="B596" s="121"/>
    </row>
    <row r="597">
      <c r="A597" s="67"/>
      <c r="B597" s="121"/>
    </row>
    <row r="598">
      <c r="A598" s="67"/>
      <c r="B598" s="121"/>
    </row>
    <row r="599">
      <c r="A599" s="67"/>
      <c r="B599" s="121"/>
    </row>
    <row r="600">
      <c r="A600" s="67"/>
      <c r="B600" s="121"/>
    </row>
    <row r="601">
      <c r="A601" s="67"/>
      <c r="B601" s="121"/>
    </row>
    <row r="602">
      <c r="A602" s="67"/>
      <c r="B602" s="121"/>
    </row>
    <row r="603">
      <c r="A603" s="67"/>
      <c r="B603" s="121"/>
    </row>
    <row r="604">
      <c r="A604" s="67"/>
      <c r="B604" s="121"/>
    </row>
    <row r="605">
      <c r="A605" s="67"/>
      <c r="B605" s="121"/>
    </row>
    <row r="606">
      <c r="A606" s="67"/>
      <c r="B606" s="121"/>
    </row>
    <row r="607">
      <c r="A607" s="67"/>
      <c r="B607" s="121"/>
    </row>
    <row r="608">
      <c r="A608" s="67"/>
      <c r="B608" s="121"/>
    </row>
    <row r="609">
      <c r="A609" s="67"/>
      <c r="B609" s="121"/>
    </row>
    <row r="610">
      <c r="A610" s="67"/>
      <c r="B610" s="121"/>
    </row>
    <row r="611">
      <c r="A611" s="67"/>
      <c r="B611" s="121"/>
    </row>
    <row r="612">
      <c r="A612" s="67"/>
      <c r="B612" s="121"/>
    </row>
    <row r="613">
      <c r="A613" s="67"/>
      <c r="B613" s="121"/>
    </row>
    <row r="614">
      <c r="A614" s="67"/>
      <c r="B614" s="121"/>
    </row>
    <row r="615">
      <c r="A615" s="67"/>
      <c r="B615" s="121"/>
    </row>
    <row r="616">
      <c r="A616" s="67"/>
      <c r="B616" s="121"/>
    </row>
    <row r="617">
      <c r="A617" s="67"/>
      <c r="B617" s="121"/>
    </row>
    <row r="618">
      <c r="A618" s="67"/>
      <c r="B618" s="121"/>
    </row>
    <row r="619">
      <c r="A619" s="67"/>
      <c r="B619" s="121"/>
    </row>
    <row r="620">
      <c r="A620" s="67"/>
      <c r="B620" s="121"/>
    </row>
    <row r="621">
      <c r="A621" s="67"/>
      <c r="B621" s="121"/>
    </row>
    <row r="622">
      <c r="A622" s="67"/>
      <c r="B622" s="121"/>
    </row>
    <row r="623">
      <c r="A623" s="67"/>
      <c r="B623" s="121"/>
    </row>
    <row r="624">
      <c r="A624" s="67"/>
      <c r="B624" s="121"/>
    </row>
    <row r="625">
      <c r="A625" s="67"/>
      <c r="B625" s="121"/>
    </row>
    <row r="626">
      <c r="A626" s="67"/>
      <c r="B626" s="121"/>
    </row>
    <row r="627">
      <c r="A627" s="67"/>
      <c r="B627" s="121"/>
    </row>
    <row r="628">
      <c r="A628" s="67"/>
      <c r="B628" s="121"/>
    </row>
    <row r="629">
      <c r="A629" s="67"/>
      <c r="B629" s="121"/>
    </row>
    <row r="630">
      <c r="A630" s="67"/>
      <c r="B630" s="121"/>
    </row>
    <row r="631">
      <c r="A631" s="67"/>
      <c r="B631" s="121"/>
    </row>
    <row r="632">
      <c r="A632" s="67"/>
      <c r="B632" s="121"/>
    </row>
    <row r="633">
      <c r="A633" s="67"/>
      <c r="B633" s="121"/>
    </row>
    <row r="634">
      <c r="A634" s="67"/>
      <c r="B634" s="121"/>
    </row>
    <row r="635">
      <c r="A635" s="67"/>
      <c r="B635" s="121"/>
    </row>
    <row r="636">
      <c r="A636" s="67"/>
      <c r="B636" s="121"/>
    </row>
    <row r="637">
      <c r="A637" s="67"/>
      <c r="B637" s="121"/>
    </row>
    <row r="638">
      <c r="A638" s="67"/>
      <c r="B638" s="121"/>
    </row>
    <row r="639">
      <c r="A639" s="67"/>
      <c r="B639" s="121"/>
    </row>
    <row r="640">
      <c r="A640" s="67"/>
      <c r="B640" s="121"/>
    </row>
    <row r="641">
      <c r="A641" s="67"/>
      <c r="B641" s="121"/>
    </row>
    <row r="642">
      <c r="A642" s="67"/>
      <c r="B642" s="121"/>
    </row>
    <row r="643">
      <c r="A643" s="67"/>
      <c r="B643" s="121"/>
    </row>
    <row r="644">
      <c r="A644" s="67"/>
      <c r="B644" s="121"/>
    </row>
    <row r="645">
      <c r="A645" s="67"/>
      <c r="B645" s="121"/>
    </row>
    <row r="646">
      <c r="A646" s="67"/>
      <c r="B646" s="121"/>
    </row>
    <row r="647">
      <c r="A647" s="67"/>
      <c r="B647" s="121"/>
    </row>
    <row r="648">
      <c r="A648" s="67"/>
      <c r="B648" s="121"/>
    </row>
    <row r="649">
      <c r="A649" s="67"/>
      <c r="B649" s="121"/>
    </row>
    <row r="650">
      <c r="A650" s="67"/>
      <c r="B650" s="121"/>
    </row>
    <row r="651">
      <c r="A651" s="67"/>
      <c r="B651" s="121"/>
    </row>
    <row r="652">
      <c r="A652" s="67"/>
      <c r="B652" s="121"/>
    </row>
    <row r="653">
      <c r="A653" s="67"/>
      <c r="B653" s="121"/>
    </row>
    <row r="654">
      <c r="A654" s="67"/>
      <c r="B654" s="121"/>
    </row>
    <row r="655">
      <c r="A655" s="67"/>
      <c r="B655" s="121"/>
    </row>
    <row r="656">
      <c r="A656" s="67"/>
      <c r="B656" s="121"/>
    </row>
    <row r="657">
      <c r="A657" s="67"/>
      <c r="B657" s="121"/>
    </row>
    <row r="658">
      <c r="A658" s="67"/>
      <c r="B658" s="121"/>
    </row>
    <row r="659">
      <c r="A659" s="67"/>
      <c r="B659" s="121"/>
    </row>
    <row r="660">
      <c r="A660" s="67"/>
      <c r="B660" s="121"/>
    </row>
    <row r="661">
      <c r="A661" s="67"/>
      <c r="B661" s="121"/>
    </row>
    <row r="662">
      <c r="A662" s="67"/>
      <c r="B662" s="121"/>
    </row>
    <row r="663">
      <c r="A663" s="67"/>
      <c r="B663" s="121"/>
    </row>
    <row r="664">
      <c r="A664" s="67"/>
      <c r="B664" s="121"/>
    </row>
    <row r="665">
      <c r="A665" s="67"/>
      <c r="B665" s="121"/>
    </row>
    <row r="666">
      <c r="A666" s="67"/>
      <c r="B666" s="121"/>
    </row>
    <row r="667">
      <c r="A667" s="67"/>
      <c r="B667" s="121"/>
    </row>
    <row r="668">
      <c r="A668" s="67"/>
      <c r="B668" s="121"/>
    </row>
    <row r="669">
      <c r="A669" s="67"/>
      <c r="B669" s="121"/>
    </row>
    <row r="670">
      <c r="A670" s="67"/>
      <c r="B670" s="121"/>
    </row>
    <row r="671">
      <c r="A671" s="67"/>
      <c r="B671" s="121"/>
    </row>
    <row r="672">
      <c r="A672" s="67"/>
      <c r="B672" s="121"/>
    </row>
    <row r="673">
      <c r="A673" s="67"/>
      <c r="B673" s="121"/>
    </row>
    <row r="674">
      <c r="A674" s="67"/>
      <c r="B674" s="121"/>
    </row>
    <row r="675">
      <c r="A675" s="67"/>
      <c r="B675" s="121"/>
    </row>
    <row r="676">
      <c r="A676" s="67"/>
      <c r="B676" s="121"/>
    </row>
    <row r="677">
      <c r="A677" s="67"/>
      <c r="B677" s="121"/>
    </row>
    <row r="678">
      <c r="A678" s="67"/>
      <c r="B678" s="121"/>
    </row>
    <row r="679">
      <c r="A679" s="67"/>
      <c r="B679" s="121"/>
    </row>
    <row r="680">
      <c r="A680" s="67"/>
      <c r="B680" s="121"/>
    </row>
    <row r="681">
      <c r="A681" s="67"/>
      <c r="B681" s="121"/>
    </row>
    <row r="682">
      <c r="A682" s="67"/>
      <c r="B682" s="121"/>
    </row>
    <row r="683">
      <c r="A683" s="67"/>
      <c r="B683" s="121"/>
    </row>
    <row r="684">
      <c r="A684" s="67"/>
      <c r="B684" s="121"/>
    </row>
    <row r="685">
      <c r="A685" s="67"/>
      <c r="B685" s="121"/>
    </row>
    <row r="686">
      <c r="A686" s="67"/>
      <c r="B686" s="121"/>
    </row>
    <row r="687">
      <c r="A687" s="67"/>
      <c r="B687" s="121"/>
    </row>
    <row r="688">
      <c r="A688" s="67"/>
      <c r="B688" s="121"/>
    </row>
    <row r="689">
      <c r="A689" s="67"/>
      <c r="B689" s="121"/>
    </row>
    <row r="690">
      <c r="A690" s="67"/>
      <c r="B690" s="121"/>
    </row>
    <row r="691">
      <c r="A691" s="67"/>
      <c r="B691" s="121"/>
    </row>
    <row r="692">
      <c r="A692" s="67"/>
      <c r="B692" s="121"/>
    </row>
    <row r="693">
      <c r="A693" s="67"/>
      <c r="B693" s="121"/>
    </row>
    <row r="694">
      <c r="A694" s="67"/>
      <c r="B694" s="121"/>
    </row>
    <row r="695">
      <c r="A695" s="67"/>
      <c r="B695" s="121"/>
    </row>
    <row r="696">
      <c r="A696" s="67"/>
      <c r="B696" s="121"/>
    </row>
    <row r="697">
      <c r="A697" s="67"/>
      <c r="B697" s="121"/>
    </row>
    <row r="698">
      <c r="A698" s="67"/>
      <c r="B698" s="121"/>
    </row>
    <row r="699">
      <c r="A699" s="67"/>
      <c r="B699" s="121"/>
    </row>
    <row r="700">
      <c r="A700" s="67"/>
      <c r="B700" s="121"/>
    </row>
    <row r="701">
      <c r="A701" s="67"/>
      <c r="B701" s="121"/>
    </row>
    <row r="702">
      <c r="A702" s="67"/>
      <c r="B702" s="121"/>
    </row>
    <row r="703">
      <c r="A703" s="67"/>
      <c r="B703" s="121"/>
    </row>
    <row r="704">
      <c r="A704" s="67"/>
      <c r="B704" s="121"/>
    </row>
    <row r="705">
      <c r="A705" s="67"/>
      <c r="B705" s="121"/>
    </row>
    <row r="706">
      <c r="A706" s="67"/>
      <c r="B706" s="121"/>
    </row>
    <row r="707">
      <c r="A707" s="67"/>
      <c r="B707" s="121"/>
    </row>
    <row r="708">
      <c r="A708" s="67"/>
      <c r="B708" s="121"/>
    </row>
    <row r="709">
      <c r="A709" s="67"/>
      <c r="B709" s="121"/>
    </row>
    <row r="710">
      <c r="A710" s="67"/>
      <c r="B710" s="121"/>
    </row>
    <row r="711">
      <c r="A711" s="67"/>
      <c r="B711" s="121"/>
    </row>
    <row r="712">
      <c r="A712" s="67"/>
      <c r="B712" s="121"/>
    </row>
    <row r="713">
      <c r="A713" s="67"/>
      <c r="B713" s="121"/>
    </row>
    <row r="714">
      <c r="A714" s="67"/>
      <c r="B714" s="121"/>
    </row>
    <row r="715">
      <c r="A715" s="67"/>
      <c r="B715" s="121"/>
    </row>
    <row r="716">
      <c r="A716" s="67"/>
      <c r="B716" s="121"/>
    </row>
    <row r="717">
      <c r="A717" s="67"/>
      <c r="B717" s="121"/>
    </row>
    <row r="718">
      <c r="A718" s="67"/>
      <c r="B718" s="121"/>
    </row>
    <row r="719">
      <c r="A719" s="67"/>
      <c r="B719" s="121"/>
    </row>
    <row r="720">
      <c r="A720" s="67"/>
      <c r="B720" s="121"/>
    </row>
    <row r="721">
      <c r="A721" s="67"/>
      <c r="B721" s="121"/>
    </row>
    <row r="722">
      <c r="A722" s="67"/>
      <c r="B722" s="121"/>
    </row>
    <row r="723">
      <c r="A723" s="67"/>
      <c r="B723" s="121"/>
    </row>
    <row r="724">
      <c r="A724" s="67"/>
      <c r="B724" s="121"/>
    </row>
    <row r="725">
      <c r="A725" s="67"/>
      <c r="B725" s="121"/>
    </row>
    <row r="726">
      <c r="A726" s="67"/>
      <c r="B726" s="121"/>
    </row>
    <row r="727">
      <c r="A727" s="67"/>
      <c r="B727" s="121"/>
    </row>
    <row r="728">
      <c r="A728" s="67"/>
      <c r="B728" s="121"/>
    </row>
    <row r="729">
      <c r="A729" s="67"/>
      <c r="B729" s="121"/>
    </row>
    <row r="730">
      <c r="A730" s="67"/>
      <c r="B730" s="121"/>
    </row>
    <row r="731">
      <c r="A731" s="67"/>
      <c r="B731" s="121"/>
    </row>
    <row r="732">
      <c r="A732" s="67"/>
      <c r="B732" s="121"/>
    </row>
    <row r="733">
      <c r="A733" s="67"/>
      <c r="B733" s="121"/>
    </row>
    <row r="734">
      <c r="A734" s="67"/>
      <c r="B734" s="121"/>
    </row>
    <row r="735">
      <c r="A735" s="67"/>
      <c r="B735" s="121"/>
    </row>
    <row r="736">
      <c r="A736" s="67"/>
      <c r="B736" s="121"/>
    </row>
    <row r="737">
      <c r="A737" s="67"/>
      <c r="B737" s="121"/>
    </row>
    <row r="738">
      <c r="A738" s="67"/>
      <c r="B738" s="121"/>
    </row>
    <row r="739">
      <c r="A739" s="67"/>
      <c r="B739" s="121"/>
    </row>
    <row r="740">
      <c r="A740" s="67"/>
      <c r="B740" s="121"/>
    </row>
    <row r="741">
      <c r="A741" s="67"/>
      <c r="B741" s="121"/>
    </row>
    <row r="742">
      <c r="A742" s="67"/>
      <c r="B742" s="121"/>
    </row>
    <row r="743">
      <c r="A743" s="67"/>
      <c r="B743" s="121"/>
    </row>
    <row r="744">
      <c r="A744" s="67"/>
      <c r="B744" s="121"/>
    </row>
    <row r="745">
      <c r="A745" s="67"/>
      <c r="B745" s="121"/>
    </row>
    <row r="746">
      <c r="A746" s="67"/>
      <c r="B746" s="121"/>
    </row>
    <row r="747">
      <c r="A747" s="67"/>
      <c r="B747" s="121"/>
    </row>
    <row r="748">
      <c r="A748" s="67"/>
      <c r="B748" s="121"/>
    </row>
    <row r="749">
      <c r="A749" s="67"/>
      <c r="B749" s="121"/>
    </row>
    <row r="750">
      <c r="A750" s="67"/>
      <c r="B750" s="121"/>
    </row>
    <row r="751">
      <c r="A751" s="67"/>
      <c r="B751" s="121"/>
    </row>
    <row r="752">
      <c r="A752" s="67"/>
      <c r="B752" s="121"/>
    </row>
    <row r="753">
      <c r="A753" s="67"/>
      <c r="B753" s="121"/>
    </row>
    <row r="754">
      <c r="A754" s="67"/>
      <c r="B754" s="121"/>
    </row>
    <row r="755">
      <c r="A755" s="67"/>
      <c r="B755" s="121"/>
    </row>
    <row r="756">
      <c r="A756" s="67"/>
      <c r="B756" s="121"/>
    </row>
    <row r="757">
      <c r="A757" s="67"/>
      <c r="B757" s="121"/>
    </row>
    <row r="758">
      <c r="A758" s="67"/>
      <c r="B758" s="121"/>
    </row>
    <row r="759">
      <c r="A759" s="67"/>
      <c r="B759" s="121"/>
    </row>
    <row r="760">
      <c r="A760" s="67"/>
      <c r="B760" s="121"/>
    </row>
    <row r="761">
      <c r="A761" s="67"/>
      <c r="B761" s="121"/>
    </row>
    <row r="762">
      <c r="A762" s="67"/>
      <c r="B762" s="121"/>
    </row>
    <row r="763">
      <c r="A763" s="67"/>
      <c r="B763" s="121"/>
    </row>
    <row r="764">
      <c r="A764" s="67"/>
      <c r="B764" s="121"/>
    </row>
    <row r="765">
      <c r="A765" s="67"/>
      <c r="B765" s="121"/>
    </row>
    <row r="766">
      <c r="A766" s="67"/>
      <c r="B766" s="121"/>
    </row>
    <row r="767">
      <c r="A767" s="67"/>
      <c r="B767" s="121"/>
    </row>
    <row r="768">
      <c r="A768" s="67"/>
      <c r="B768" s="121"/>
    </row>
    <row r="769">
      <c r="A769" s="67"/>
      <c r="B769" s="121"/>
    </row>
    <row r="770">
      <c r="A770" s="67"/>
      <c r="B770" s="121"/>
    </row>
    <row r="771">
      <c r="A771" s="67"/>
      <c r="B771" s="121"/>
    </row>
    <row r="772">
      <c r="A772" s="67"/>
      <c r="B772" s="121"/>
    </row>
    <row r="773">
      <c r="A773" s="67"/>
      <c r="B773" s="121"/>
    </row>
    <row r="774">
      <c r="A774" s="67"/>
      <c r="B774" s="121"/>
    </row>
    <row r="775">
      <c r="A775" s="67"/>
      <c r="B775" s="121"/>
    </row>
    <row r="776">
      <c r="A776" s="67"/>
      <c r="B776" s="121"/>
    </row>
    <row r="777">
      <c r="A777" s="67"/>
      <c r="B777" s="121"/>
    </row>
    <row r="778">
      <c r="A778" s="67"/>
      <c r="B778" s="121"/>
    </row>
    <row r="779">
      <c r="A779" s="67"/>
      <c r="B779" s="121"/>
    </row>
    <row r="780">
      <c r="A780" s="67"/>
      <c r="B780" s="121"/>
    </row>
    <row r="781">
      <c r="A781" s="67"/>
      <c r="B781" s="121"/>
    </row>
    <row r="782">
      <c r="A782" s="67"/>
      <c r="B782" s="121"/>
    </row>
    <row r="783">
      <c r="A783" s="67"/>
      <c r="B783" s="121"/>
    </row>
    <row r="784">
      <c r="A784" s="67"/>
      <c r="B784" s="121"/>
    </row>
    <row r="785">
      <c r="A785" s="67"/>
      <c r="B785" s="121"/>
    </row>
    <row r="786">
      <c r="A786" s="67"/>
      <c r="B786" s="121"/>
    </row>
    <row r="787">
      <c r="A787" s="67"/>
      <c r="B787" s="121"/>
    </row>
    <row r="788">
      <c r="A788" s="67"/>
      <c r="B788" s="121"/>
    </row>
    <row r="789">
      <c r="A789" s="67"/>
      <c r="B789" s="121"/>
    </row>
    <row r="790">
      <c r="A790" s="67"/>
      <c r="B790" s="121"/>
    </row>
    <row r="791">
      <c r="A791" s="67"/>
      <c r="B791" s="121"/>
    </row>
    <row r="792">
      <c r="A792" s="67"/>
      <c r="B792" s="121"/>
    </row>
    <row r="793">
      <c r="A793" s="67"/>
      <c r="B793" s="121"/>
    </row>
    <row r="794">
      <c r="A794" s="67"/>
      <c r="B794" s="121"/>
    </row>
    <row r="795">
      <c r="A795" s="67"/>
      <c r="B795" s="121"/>
    </row>
    <row r="796">
      <c r="A796" s="67"/>
      <c r="B796" s="121"/>
    </row>
    <row r="797">
      <c r="A797" s="67"/>
      <c r="B797" s="121"/>
    </row>
    <row r="798">
      <c r="A798" s="67"/>
      <c r="B798" s="121"/>
    </row>
    <row r="799">
      <c r="A799" s="67"/>
      <c r="B799" s="121"/>
    </row>
    <row r="800">
      <c r="A800" s="67"/>
      <c r="B800" s="121"/>
    </row>
    <row r="801">
      <c r="A801" s="67"/>
      <c r="B801" s="121"/>
    </row>
    <row r="802">
      <c r="A802" s="67"/>
      <c r="B802" s="121"/>
    </row>
    <row r="803">
      <c r="A803" s="67"/>
      <c r="B803" s="121"/>
    </row>
    <row r="804">
      <c r="A804" s="67"/>
      <c r="B804" s="121"/>
    </row>
    <row r="805">
      <c r="A805" s="67"/>
      <c r="B805" s="121"/>
    </row>
    <row r="806">
      <c r="A806" s="67"/>
      <c r="B806" s="121"/>
    </row>
    <row r="807">
      <c r="A807" s="67"/>
      <c r="B807" s="121"/>
    </row>
    <row r="808">
      <c r="A808" s="67"/>
      <c r="B808" s="121"/>
    </row>
    <row r="809">
      <c r="A809" s="67"/>
      <c r="B809" s="121"/>
    </row>
    <row r="810">
      <c r="A810" s="67"/>
      <c r="B810" s="121"/>
    </row>
    <row r="811">
      <c r="A811" s="67"/>
      <c r="B811" s="121"/>
    </row>
    <row r="812">
      <c r="A812" s="67"/>
      <c r="B812" s="121"/>
    </row>
    <row r="813">
      <c r="A813" s="67"/>
      <c r="B813" s="121"/>
    </row>
    <row r="814">
      <c r="A814" s="67"/>
      <c r="B814" s="121"/>
    </row>
    <row r="815">
      <c r="A815" s="67"/>
      <c r="B815" s="121"/>
    </row>
    <row r="816">
      <c r="A816" s="67"/>
      <c r="B816" s="121"/>
    </row>
    <row r="817">
      <c r="A817" s="67"/>
      <c r="B817" s="121"/>
    </row>
    <row r="818">
      <c r="A818" s="67"/>
      <c r="B818" s="121"/>
    </row>
    <row r="819">
      <c r="A819" s="67"/>
      <c r="B819" s="121"/>
    </row>
    <row r="820">
      <c r="A820" s="67"/>
      <c r="B820" s="121"/>
    </row>
    <row r="821">
      <c r="A821" s="67"/>
      <c r="B821" s="121"/>
    </row>
    <row r="822">
      <c r="A822" s="67"/>
      <c r="B822" s="121"/>
    </row>
    <row r="823">
      <c r="A823" s="67"/>
      <c r="B823" s="121"/>
    </row>
    <row r="824">
      <c r="A824" s="67"/>
      <c r="B824" s="121"/>
    </row>
    <row r="825">
      <c r="A825" s="67"/>
      <c r="B825" s="121"/>
    </row>
    <row r="826">
      <c r="A826" s="67"/>
      <c r="B826" s="121"/>
    </row>
    <row r="827">
      <c r="A827" s="67"/>
      <c r="B827" s="121"/>
    </row>
    <row r="828">
      <c r="A828" s="67"/>
      <c r="B828" s="121"/>
    </row>
    <row r="829">
      <c r="A829" s="67"/>
      <c r="B829" s="121"/>
    </row>
    <row r="830">
      <c r="A830" s="67"/>
      <c r="B830" s="121"/>
    </row>
    <row r="831">
      <c r="A831" s="67"/>
      <c r="B831" s="121"/>
    </row>
    <row r="832">
      <c r="A832" s="67"/>
      <c r="B832" s="121"/>
    </row>
    <row r="833">
      <c r="A833" s="67"/>
      <c r="B833" s="121"/>
    </row>
    <row r="834">
      <c r="A834" s="67"/>
      <c r="B834" s="121"/>
    </row>
    <row r="835">
      <c r="A835" s="67"/>
      <c r="B835" s="121"/>
    </row>
    <row r="836">
      <c r="A836" s="67"/>
      <c r="B836" s="121"/>
    </row>
    <row r="837">
      <c r="A837" s="67"/>
      <c r="B837" s="121"/>
    </row>
    <row r="838">
      <c r="A838" s="67"/>
      <c r="B838" s="121"/>
    </row>
    <row r="839">
      <c r="A839" s="67"/>
      <c r="B839" s="121"/>
    </row>
    <row r="840">
      <c r="A840" s="67"/>
      <c r="B840" s="121"/>
    </row>
    <row r="841">
      <c r="A841" s="67"/>
      <c r="B841" s="121"/>
    </row>
    <row r="842">
      <c r="A842" s="67"/>
      <c r="B842" s="121"/>
    </row>
    <row r="843">
      <c r="A843" s="67"/>
      <c r="B843" s="121"/>
    </row>
    <row r="844">
      <c r="A844" s="67"/>
      <c r="B844" s="121"/>
    </row>
    <row r="845">
      <c r="A845" s="67"/>
      <c r="B845" s="121"/>
    </row>
    <row r="846">
      <c r="A846" s="67"/>
      <c r="B846" s="121"/>
    </row>
    <row r="847">
      <c r="A847" s="67"/>
      <c r="B847" s="121"/>
    </row>
    <row r="848">
      <c r="A848" s="67"/>
      <c r="B848" s="121"/>
    </row>
    <row r="849">
      <c r="A849" s="67"/>
      <c r="B849" s="121"/>
    </row>
    <row r="850">
      <c r="A850" s="67"/>
      <c r="B850" s="121"/>
    </row>
    <row r="851">
      <c r="A851" s="67"/>
      <c r="B851" s="121"/>
    </row>
    <row r="852">
      <c r="A852" s="67"/>
      <c r="B852" s="121"/>
    </row>
    <row r="853">
      <c r="A853" s="67"/>
      <c r="B853" s="121"/>
    </row>
    <row r="854">
      <c r="A854" s="67"/>
      <c r="B854" s="121"/>
    </row>
    <row r="855">
      <c r="A855" s="67"/>
      <c r="B855" s="121"/>
    </row>
    <row r="856">
      <c r="A856" s="67"/>
      <c r="B856" s="121"/>
    </row>
    <row r="857">
      <c r="A857" s="67"/>
      <c r="B857" s="121"/>
    </row>
    <row r="858">
      <c r="A858" s="67"/>
      <c r="B858" s="121"/>
    </row>
    <row r="859">
      <c r="A859" s="67"/>
      <c r="B859" s="121"/>
    </row>
    <row r="860">
      <c r="A860" s="67"/>
      <c r="B860" s="121"/>
    </row>
    <row r="861">
      <c r="A861" s="67"/>
      <c r="B861" s="121"/>
    </row>
    <row r="862">
      <c r="A862" s="67"/>
      <c r="B862" s="121"/>
    </row>
    <row r="863">
      <c r="A863" s="67"/>
      <c r="B863" s="121"/>
    </row>
    <row r="864">
      <c r="A864" s="67"/>
      <c r="B864" s="121"/>
    </row>
    <row r="865">
      <c r="A865" s="67"/>
      <c r="B865" s="121"/>
    </row>
    <row r="866">
      <c r="A866" s="67"/>
      <c r="B866" s="121"/>
    </row>
    <row r="867">
      <c r="A867" s="67"/>
      <c r="B867" s="121"/>
    </row>
    <row r="868">
      <c r="A868" s="67"/>
      <c r="B868" s="121"/>
    </row>
    <row r="869">
      <c r="A869" s="67"/>
      <c r="B869" s="121"/>
    </row>
    <row r="870">
      <c r="A870" s="67"/>
      <c r="B870" s="121"/>
    </row>
    <row r="871">
      <c r="A871" s="67"/>
      <c r="B871" s="121"/>
    </row>
    <row r="872">
      <c r="A872" s="67"/>
      <c r="B872" s="121"/>
    </row>
    <row r="873">
      <c r="A873" s="67"/>
      <c r="B873" s="121"/>
    </row>
    <row r="874">
      <c r="A874" s="67"/>
      <c r="B874" s="121"/>
    </row>
    <row r="875">
      <c r="A875" s="67"/>
      <c r="B875" s="121"/>
    </row>
    <row r="876">
      <c r="A876" s="67"/>
      <c r="B876" s="121"/>
    </row>
    <row r="877">
      <c r="A877" s="67"/>
      <c r="B877" s="121"/>
    </row>
    <row r="878">
      <c r="A878" s="67"/>
      <c r="B878" s="121"/>
    </row>
    <row r="879">
      <c r="A879" s="67"/>
      <c r="B879" s="121"/>
    </row>
    <row r="880">
      <c r="A880" s="67"/>
      <c r="B880" s="121"/>
    </row>
    <row r="881">
      <c r="A881" s="67"/>
      <c r="B881" s="121"/>
    </row>
    <row r="882">
      <c r="A882" s="67"/>
      <c r="B882" s="121"/>
    </row>
    <row r="883">
      <c r="A883" s="67"/>
      <c r="B883" s="121"/>
    </row>
    <row r="884">
      <c r="A884" s="67"/>
      <c r="B884" s="121"/>
    </row>
    <row r="885">
      <c r="A885" s="67"/>
      <c r="B885" s="121"/>
    </row>
    <row r="886">
      <c r="A886" s="67"/>
      <c r="B886" s="121"/>
    </row>
    <row r="887">
      <c r="A887" s="67"/>
      <c r="B887" s="121"/>
    </row>
    <row r="888">
      <c r="A888" s="67"/>
      <c r="B888" s="121"/>
    </row>
    <row r="889">
      <c r="A889" s="67"/>
      <c r="B889" s="121"/>
    </row>
    <row r="890">
      <c r="A890" s="67"/>
      <c r="B890" s="121"/>
    </row>
    <row r="891">
      <c r="A891" s="67"/>
      <c r="B891" s="121"/>
    </row>
    <row r="892">
      <c r="A892" s="67"/>
      <c r="B892" s="121"/>
    </row>
    <row r="893">
      <c r="A893" s="67"/>
      <c r="B893" s="121"/>
    </row>
    <row r="894">
      <c r="A894" s="67"/>
      <c r="B894" s="121"/>
    </row>
    <row r="895">
      <c r="A895" s="67"/>
      <c r="B895" s="121"/>
    </row>
    <row r="896">
      <c r="A896" s="67"/>
      <c r="B896" s="121"/>
    </row>
    <row r="897">
      <c r="A897" s="67"/>
      <c r="B897" s="121"/>
    </row>
    <row r="898">
      <c r="A898" s="67"/>
      <c r="B898" s="121"/>
    </row>
    <row r="899">
      <c r="A899" s="67"/>
      <c r="B899" s="121"/>
    </row>
    <row r="900">
      <c r="A900" s="67"/>
      <c r="B900" s="121"/>
    </row>
    <row r="901">
      <c r="A901" s="67"/>
      <c r="B901" s="121"/>
    </row>
    <row r="902">
      <c r="A902" s="67"/>
      <c r="B902" s="121"/>
    </row>
    <row r="903">
      <c r="A903" s="67"/>
      <c r="B903" s="121"/>
    </row>
    <row r="904">
      <c r="A904" s="67"/>
      <c r="B904" s="121"/>
    </row>
    <row r="905">
      <c r="A905" s="67"/>
      <c r="B905" s="121"/>
    </row>
    <row r="906">
      <c r="A906" s="67"/>
      <c r="B906" s="121"/>
    </row>
    <row r="907">
      <c r="A907" s="67"/>
      <c r="B907" s="121"/>
    </row>
    <row r="908">
      <c r="A908" s="67"/>
      <c r="B908" s="121"/>
    </row>
    <row r="909">
      <c r="A909" s="67"/>
      <c r="B909" s="121"/>
    </row>
    <row r="910">
      <c r="A910" s="67"/>
      <c r="B910" s="121"/>
    </row>
    <row r="911">
      <c r="A911" s="67"/>
      <c r="B911" s="121"/>
    </row>
    <row r="912">
      <c r="A912" s="67"/>
      <c r="B912" s="121"/>
    </row>
    <row r="913">
      <c r="A913" s="67"/>
      <c r="B913" s="121"/>
    </row>
    <row r="914">
      <c r="A914" s="67"/>
      <c r="B914" s="121"/>
    </row>
    <row r="915">
      <c r="A915" s="67"/>
      <c r="B915" s="121"/>
    </row>
    <row r="916">
      <c r="A916" s="67"/>
      <c r="B916" s="121"/>
    </row>
    <row r="917">
      <c r="A917" s="67"/>
      <c r="B917" s="121"/>
    </row>
    <row r="918">
      <c r="A918" s="67"/>
      <c r="B918" s="121"/>
    </row>
    <row r="919">
      <c r="A919" s="67"/>
      <c r="B919" s="121"/>
    </row>
    <row r="920">
      <c r="A920" s="67"/>
      <c r="B920" s="121"/>
    </row>
    <row r="921">
      <c r="A921" s="67"/>
      <c r="B921" s="121"/>
    </row>
    <row r="922">
      <c r="A922" s="67"/>
      <c r="B922" s="121"/>
    </row>
    <row r="923">
      <c r="A923" s="67"/>
      <c r="B923" s="121"/>
    </row>
    <row r="924">
      <c r="A924" s="67"/>
      <c r="B924" s="121"/>
    </row>
    <row r="925">
      <c r="A925" s="67"/>
      <c r="B925" s="121"/>
    </row>
    <row r="926">
      <c r="A926" s="67"/>
      <c r="B926" s="121"/>
    </row>
    <row r="927">
      <c r="A927" s="67"/>
      <c r="B927" s="121"/>
    </row>
    <row r="928">
      <c r="A928" s="67"/>
      <c r="B928" s="121"/>
    </row>
    <row r="929">
      <c r="A929" s="67"/>
      <c r="B929" s="121"/>
    </row>
    <row r="930">
      <c r="A930" s="67"/>
      <c r="B930" s="121"/>
    </row>
    <row r="931">
      <c r="A931" s="67"/>
      <c r="B931" s="121"/>
    </row>
    <row r="932">
      <c r="A932" s="67"/>
      <c r="B932" s="121"/>
    </row>
    <row r="933">
      <c r="A933" s="67"/>
      <c r="B933" s="121"/>
    </row>
    <row r="934">
      <c r="A934" s="67"/>
      <c r="B934" s="121"/>
    </row>
    <row r="935">
      <c r="A935" s="67"/>
      <c r="B935" s="121"/>
    </row>
    <row r="936">
      <c r="A936" s="67"/>
      <c r="B936" s="121"/>
    </row>
    <row r="937">
      <c r="A937" s="67"/>
      <c r="B937" s="121"/>
    </row>
    <row r="938">
      <c r="A938" s="67"/>
      <c r="B938" s="121"/>
    </row>
    <row r="939">
      <c r="A939" s="67"/>
      <c r="B939" s="121"/>
    </row>
    <row r="940">
      <c r="A940" s="67"/>
      <c r="B940" s="121"/>
    </row>
    <row r="941">
      <c r="A941" s="67"/>
      <c r="B941" s="121"/>
    </row>
    <row r="942">
      <c r="A942" s="67"/>
      <c r="B942" s="121"/>
    </row>
    <row r="943">
      <c r="A943" s="67"/>
      <c r="B943" s="121"/>
    </row>
    <row r="944">
      <c r="A944" s="67"/>
      <c r="B944" s="121"/>
    </row>
    <row r="945">
      <c r="A945" s="67"/>
      <c r="B945" s="121"/>
    </row>
    <row r="946">
      <c r="A946" s="67"/>
      <c r="B946" s="121"/>
    </row>
    <row r="947">
      <c r="A947" s="67"/>
      <c r="B947" s="121"/>
    </row>
    <row r="948">
      <c r="A948" s="67"/>
      <c r="B948" s="121"/>
    </row>
    <row r="949">
      <c r="A949" s="67"/>
      <c r="B949" s="121"/>
    </row>
    <row r="950">
      <c r="A950" s="67"/>
      <c r="B950" s="121"/>
    </row>
    <row r="951">
      <c r="A951" s="67"/>
      <c r="B951" s="121"/>
    </row>
    <row r="952">
      <c r="A952" s="67"/>
      <c r="B952" s="121"/>
    </row>
    <row r="953">
      <c r="A953" s="67"/>
      <c r="B953" s="121"/>
    </row>
    <row r="954">
      <c r="A954" s="67"/>
      <c r="B954" s="121"/>
    </row>
    <row r="955">
      <c r="A955" s="67"/>
      <c r="B955" s="121"/>
    </row>
    <row r="956">
      <c r="A956" s="67"/>
      <c r="B956" s="121"/>
    </row>
    <row r="957">
      <c r="A957" s="67"/>
      <c r="B957" s="121"/>
    </row>
    <row r="958">
      <c r="A958" s="67"/>
      <c r="B958" s="121"/>
    </row>
    <row r="959">
      <c r="A959" s="67"/>
      <c r="B959" s="121"/>
    </row>
    <row r="960">
      <c r="A960" s="67"/>
      <c r="B960" s="121"/>
    </row>
    <row r="961">
      <c r="A961" s="67"/>
      <c r="B961" s="121"/>
    </row>
    <row r="962">
      <c r="A962" s="67"/>
      <c r="B962" s="121"/>
    </row>
    <row r="963">
      <c r="A963" s="67"/>
      <c r="B963" s="121"/>
    </row>
    <row r="964">
      <c r="A964" s="67"/>
      <c r="B964" s="121"/>
    </row>
    <row r="965">
      <c r="A965" s="67"/>
      <c r="B965" s="121"/>
    </row>
    <row r="966">
      <c r="A966" s="67"/>
      <c r="B966" s="121"/>
    </row>
    <row r="967">
      <c r="A967" s="67"/>
      <c r="B967" s="121"/>
    </row>
    <row r="968">
      <c r="A968" s="67"/>
      <c r="B968" s="121"/>
    </row>
    <row r="969">
      <c r="A969" s="67"/>
      <c r="B969" s="121"/>
    </row>
    <row r="970">
      <c r="A970" s="67"/>
      <c r="B970" s="121"/>
    </row>
    <row r="971">
      <c r="A971" s="67"/>
      <c r="B971" s="121"/>
    </row>
    <row r="972">
      <c r="A972" s="67"/>
      <c r="B972" s="121"/>
    </row>
    <row r="973">
      <c r="A973" s="67"/>
      <c r="B973" s="121"/>
    </row>
    <row r="974">
      <c r="A974" s="67"/>
      <c r="B974" s="121"/>
    </row>
    <row r="975">
      <c r="A975" s="67"/>
      <c r="B975" s="121"/>
    </row>
    <row r="976">
      <c r="A976" s="67"/>
      <c r="B976" s="121"/>
    </row>
    <row r="977">
      <c r="A977" s="67"/>
      <c r="B977" s="121"/>
    </row>
    <row r="978">
      <c r="A978" s="67"/>
      <c r="B978" s="121"/>
    </row>
    <row r="979">
      <c r="A979" s="67"/>
      <c r="B979" s="121"/>
    </row>
    <row r="980">
      <c r="A980" s="67"/>
      <c r="B980" s="121"/>
    </row>
    <row r="981">
      <c r="A981" s="67"/>
      <c r="B981" s="121"/>
    </row>
    <row r="982">
      <c r="A982" s="67"/>
      <c r="B982" s="121"/>
    </row>
    <row r="983">
      <c r="A983" s="67"/>
      <c r="B983" s="121"/>
    </row>
    <row r="984">
      <c r="A984" s="67"/>
      <c r="B984" s="121"/>
    </row>
    <row r="985">
      <c r="A985" s="67"/>
      <c r="B985" s="121"/>
    </row>
    <row r="986">
      <c r="A986" s="67"/>
      <c r="B986" s="121"/>
    </row>
    <row r="987">
      <c r="A987" s="67"/>
      <c r="B987" s="121"/>
    </row>
    <row r="988">
      <c r="A988" s="67"/>
      <c r="B988" s="121"/>
    </row>
    <row r="989">
      <c r="A989" s="67"/>
      <c r="B989" s="121"/>
    </row>
    <row r="990">
      <c r="A990" s="67"/>
      <c r="B990" s="121"/>
    </row>
    <row r="991">
      <c r="A991" s="67"/>
      <c r="B991" s="121"/>
    </row>
    <row r="992">
      <c r="A992" s="67"/>
      <c r="B992" s="121"/>
    </row>
    <row r="993">
      <c r="A993" s="67"/>
      <c r="B993" s="121"/>
    </row>
    <row r="994">
      <c r="A994" s="67"/>
      <c r="B994" s="121"/>
    </row>
    <row r="995">
      <c r="A995" s="67"/>
      <c r="B995" s="121"/>
    </row>
    <row r="996">
      <c r="A996" s="67"/>
      <c r="B996" s="121"/>
    </row>
    <row r="997">
      <c r="A997" s="67"/>
      <c r="B997" s="121"/>
    </row>
    <row r="998">
      <c r="A998" s="67"/>
      <c r="B998" s="121"/>
    </row>
    <row r="999">
      <c r="A999" s="67"/>
      <c r="B999" s="121"/>
    </row>
    <row r="1000">
      <c r="A1000" s="67"/>
      <c r="B1000" s="121"/>
    </row>
    <row r="1001">
      <c r="A1001" s="67"/>
      <c r="B1001" s="121"/>
    </row>
    <row r="1002">
      <c r="A1002" s="67"/>
      <c r="B1002" s="121"/>
    </row>
    <row r="1003">
      <c r="A1003" s="67"/>
      <c r="B1003" s="121"/>
    </row>
    <row r="1004">
      <c r="A1004" s="67"/>
      <c r="B1004" s="121"/>
    </row>
    <row r="1005">
      <c r="A1005" s="67"/>
      <c r="B1005" s="121"/>
    </row>
    <row r="1006">
      <c r="A1006" s="67"/>
      <c r="B1006" s="121"/>
    </row>
    <row r="1007">
      <c r="A1007" s="67"/>
      <c r="B1007" s="121"/>
    </row>
    <row r="1008">
      <c r="A1008" s="67"/>
      <c r="B1008" s="121"/>
    </row>
    <row r="1009">
      <c r="A1009" s="67"/>
      <c r="B1009" s="121"/>
    </row>
    <row r="1010">
      <c r="A1010" s="67"/>
      <c r="B1010" s="121"/>
    </row>
    <row r="1011">
      <c r="A1011" s="67"/>
      <c r="B1011" s="121"/>
    </row>
    <row r="1012">
      <c r="A1012" s="67"/>
      <c r="B1012" s="121"/>
    </row>
    <row r="1013">
      <c r="A1013" s="67"/>
      <c r="B1013" s="121"/>
    </row>
    <row r="1014">
      <c r="A1014" s="67"/>
      <c r="B1014" s="121"/>
    </row>
    <row r="1015">
      <c r="A1015" s="67"/>
      <c r="B1015" s="121"/>
    </row>
    <row r="1016">
      <c r="A1016" s="67"/>
      <c r="B1016" s="121"/>
    </row>
    <row r="1017">
      <c r="A1017" s="67"/>
      <c r="B1017" s="121"/>
    </row>
    <row r="1018">
      <c r="A1018" s="67"/>
      <c r="B1018" s="121"/>
    </row>
    <row r="1019">
      <c r="A1019" s="67"/>
      <c r="B1019" s="121"/>
    </row>
    <row r="1020">
      <c r="A1020" s="67"/>
      <c r="B1020" s="121"/>
    </row>
    <row r="1021">
      <c r="A1021" s="67"/>
      <c r="B1021" s="121"/>
    </row>
    <row r="1022">
      <c r="A1022" s="67"/>
      <c r="B1022" s="121"/>
    </row>
    <row r="1023">
      <c r="A1023" s="67"/>
      <c r="B1023" s="121"/>
    </row>
    <row r="1024">
      <c r="A1024" s="67"/>
      <c r="B1024" s="121"/>
    </row>
    <row r="1025">
      <c r="A1025" s="67"/>
      <c r="B1025" s="121"/>
    </row>
    <row r="1026">
      <c r="A1026" s="67"/>
      <c r="B1026" s="121"/>
    </row>
    <row r="1027">
      <c r="A1027" s="67"/>
      <c r="B1027" s="121"/>
    </row>
    <row r="1028">
      <c r="A1028" s="67"/>
      <c r="B1028" s="121"/>
    </row>
    <row r="1029">
      <c r="A1029" s="67"/>
      <c r="B1029" s="121"/>
    </row>
    <row r="1030">
      <c r="A1030" s="67"/>
      <c r="B1030" s="121"/>
    </row>
    <row r="1031">
      <c r="A1031" s="67"/>
      <c r="B1031" s="121"/>
    </row>
    <row r="1032">
      <c r="A1032" s="67"/>
      <c r="B1032" s="121"/>
    </row>
    <row r="1033">
      <c r="A1033" s="67"/>
      <c r="B1033" s="121"/>
    </row>
    <row r="1034">
      <c r="A1034" s="67"/>
      <c r="B1034" s="121"/>
    </row>
    <row r="1035">
      <c r="A1035" s="67"/>
      <c r="B1035" s="121"/>
    </row>
    <row r="1036">
      <c r="A1036" s="67"/>
      <c r="B1036" s="121"/>
    </row>
    <row r="1037">
      <c r="A1037" s="67"/>
      <c r="B1037" s="121"/>
    </row>
    <row r="1038">
      <c r="A1038" s="67"/>
      <c r="B1038" s="121"/>
    </row>
    <row r="1039">
      <c r="A1039" s="67"/>
      <c r="B1039" s="121"/>
    </row>
    <row r="1040">
      <c r="A1040" s="67"/>
      <c r="B1040" s="121"/>
    </row>
    <row r="1041">
      <c r="A1041" s="67"/>
      <c r="B1041" s="121"/>
    </row>
    <row r="1042">
      <c r="A1042" s="67"/>
      <c r="B1042" s="121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Q62:Q64"/>
    <mergeCell ref="Q65:Q67"/>
    <mergeCell ref="P68:P70"/>
    <mergeCell ref="Q68:Q70"/>
    <mergeCell ref="Q41:Q43"/>
    <mergeCell ref="Q44:Q46"/>
    <mergeCell ref="Q47:Q49"/>
    <mergeCell ref="Q50:Q52"/>
    <mergeCell ref="Q53:Q55"/>
    <mergeCell ref="Q56:Q58"/>
    <mergeCell ref="Q59:Q61"/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5:A7"/>
    <mergeCell ref="A8:A10"/>
    <mergeCell ref="A11:A13"/>
    <mergeCell ref="A14:A16"/>
    <mergeCell ref="A17:A19"/>
    <mergeCell ref="A20:A22"/>
    <mergeCell ref="A23:A25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Q38:Q40"/>
    <mergeCell ref="P59:P61"/>
    <mergeCell ref="P62:P64"/>
    <mergeCell ref="P65:P67"/>
    <mergeCell ref="P38:P40"/>
    <mergeCell ref="P41:P43"/>
    <mergeCell ref="P44:P46"/>
    <mergeCell ref="P47:P49"/>
    <mergeCell ref="P50:P52"/>
    <mergeCell ref="P53:P55"/>
    <mergeCell ref="P56:P58"/>
  </mergeCells>
  <dataValidations>
    <dataValidation type="list" allowBlank="1" showErrorMessage="1" sqref="C3:O3 C6:O6 C9:O9 C12:O12 C15:O15 C18:O18 C21:O21 C24:O24 C27:O27 C30:O30 C33:O33 C36:O36 C39:O39 C42:O42 C45:O45 C48:O48 C51:O51 C54:O54 C57:O57 C60:O60 C63:O63 C66:O66 C69:O69">
      <formula1>"Efectivo,Mercado Pago"</formula1>
    </dataValidation>
    <dataValidation type="custom" allowBlank="1" showDropDown="1" sqref="C4:O4 C7:O7 C10:O10 C13:O13 C16:O16 C19:O19 C22:O22 C25:O25 C28:O28 C31:O31 C34:O34 C37:O37 C40:O40 C43:O43 C46:O46 C49:O49 C52:O52 C55:O55 C58:O58 C61:O61 C64:O64 C67:O67 C70:O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1" t="s">
        <v>0</v>
      </c>
      <c r="B1" s="2"/>
      <c r="C1" s="3" t="s">
        <v>1</v>
      </c>
      <c r="D1" s="3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82" t="s">
        <v>13</v>
      </c>
      <c r="Q1" s="8" t="s">
        <v>14</v>
      </c>
      <c r="R1" s="9" t="s">
        <v>15</v>
      </c>
    </row>
    <row r="2" ht="18.75" customHeight="1">
      <c r="A2" s="84" t="s">
        <v>168</v>
      </c>
      <c r="B2" s="11" t="s">
        <v>17</v>
      </c>
      <c r="C2" s="12">
        <v>60000.0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0</v>
      </c>
      <c r="R2" s="17">
        <f t="shared" si="1"/>
        <v>70000</v>
      </c>
    </row>
    <row r="3" ht="18.75" customHeight="1">
      <c r="B3" s="18" t="s">
        <v>18</v>
      </c>
      <c r="C3" s="19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19</v>
      </c>
      <c r="C4" s="24">
        <v>46077.0</v>
      </c>
      <c r="D4" s="24"/>
      <c r="E4" s="24"/>
      <c r="F4" s="25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85" t="s">
        <v>169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19</v>
      </c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3"/>
      <c r="P7" s="22"/>
      <c r="Q7" s="36"/>
      <c r="R7" s="36"/>
    </row>
    <row r="8" ht="18.75" customHeight="1">
      <c r="A8" s="84" t="s">
        <v>170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4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19</v>
      </c>
      <c r="C10" s="45"/>
      <c r="D10" s="45"/>
      <c r="E10" s="45"/>
      <c r="F10" s="46"/>
      <c r="G10" s="47"/>
      <c r="H10" s="27"/>
      <c r="I10" s="27"/>
      <c r="J10" s="27"/>
      <c r="K10" s="27"/>
      <c r="L10" s="27"/>
      <c r="M10" s="27"/>
      <c r="N10" s="27"/>
      <c r="O10" s="43"/>
      <c r="P10" s="22"/>
      <c r="Q10" s="36"/>
      <c r="R10" s="36"/>
    </row>
    <row r="11" ht="18.75" customHeight="1">
      <c r="A11" s="85" t="s">
        <v>171</v>
      </c>
      <c r="B11" s="31" t="s">
        <v>17</v>
      </c>
      <c r="C11" s="32">
        <v>60000.0</v>
      </c>
      <c r="D11" s="32"/>
      <c r="E11" s="32"/>
      <c r="F11" s="32"/>
      <c r="G11" s="32"/>
      <c r="H11" s="32"/>
      <c r="I11" s="48"/>
      <c r="J11" s="48"/>
      <c r="K11" s="48"/>
      <c r="L11" s="48"/>
      <c r="M11" s="48"/>
      <c r="N11" s="48"/>
      <c r="O11" s="44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 t="s">
        <v>26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19</v>
      </c>
      <c r="C13" s="49">
        <v>45975.0</v>
      </c>
      <c r="D13" s="49"/>
      <c r="E13" s="49"/>
      <c r="F13" s="49"/>
      <c r="G13" s="49"/>
      <c r="H13" s="50"/>
      <c r="I13" s="51"/>
      <c r="J13" s="51"/>
      <c r="K13" s="51"/>
      <c r="L13" s="51"/>
      <c r="M13" s="51"/>
      <c r="N13" s="51"/>
      <c r="O13" s="43"/>
      <c r="P13" s="22"/>
      <c r="Q13" s="36"/>
      <c r="R13" s="36"/>
    </row>
    <row r="14" ht="18.75" customHeight="1">
      <c r="A14" s="84" t="s">
        <v>172</v>
      </c>
      <c r="B14" s="11" t="s">
        <v>17</v>
      </c>
      <c r="C14" s="12">
        <v>35000.0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4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 t="s">
        <v>26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19</v>
      </c>
      <c r="C16" s="25">
        <v>46077.0</v>
      </c>
      <c r="D16" s="25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43"/>
      <c r="P16" s="22"/>
      <c r="Q16" s="36"/>
      <c r="R16" s="36"/>
    </row>
    <row r="17" ht="18.75" customHeight="1">
      <c r="A17" s="85" t="s">
        <v>173</v>
      </c>
      <c r="B17" s="31" t="s">
        <v>17</v>
      </c>
      <c r="C17" s="32">
        <v>30000.0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4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 t="s">
        <v>26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19</v>
      </c>
      <c r="C19" s="41">
        <v>46079.0</v>
      </c>
      <c r="D19" s="42"/>
      <c r="E19" s="41"/>
      <c r="F19" s="41"/>
      <c r="G19" s="62"/>
      <c r="H19" s="42"/>
      <c r="I19" s="42"/>
      <c r="J19" s="42"/>
      <c r="K19" s="42"/>
      <c r="L19" s="42"/>
      <c r="M19" s="42"/>
      <c r="N19" s="42"/>
      <c r="O19" s="43"/>
      <c r="P19" s="22"/>
      <c r="Q19" s="36"/>
      <c r="R19" s="36"/>
    </row>
    <row r="20" ht="18.75" customHeight="1">
      <c r="A20" s="84" t="s">
        <v>174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4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19</v>
      </c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27"/>
      <c r="N22" s="27"/>
      <c r="O22" s="43"/>
      <c r="P22" s="22"/>
      <c r="Q22" s="36"/>
      <c r="R22" s="36"/>
    </row>
    <row r="23" ht="18.75" customHeight="1">
      <c r="A23" s="85" t="s">
        <v>175</v>
      </c>
      <c r="B23" s="31" t="s">
        <v>17</v>
      </c>
      <c r="C23" s="32"/>
      <c r="D23" s="32"/>
      <c r="E23" s="32">
        <v>35000.0</v>
      </c>
      <c r="F23" s="32">
        <v>35000.0</v>
      </c>
      <c r="G23" s="32">
        <v>35000.0</v>
      </c>
      <c r="H23" s="32"/>
      <c r="I23" s="32"/>
      <c r="J23" s="32"/>
      <c r="K23" s="32"/>
      <c r="L23" s="32"/>
      <c r="M23" s="32"/>
      <c r="N23" s="32"/>
      <c r="O23" s="44">
        <f>SUMIF(F24:N24,"Efectivo",F23:N23)</f>
        <v>0</v>
      </c>
      <c r="P23" s="15">
        <f>SUMIF(F24:N24,"Mercado Pago",F23:N23)</f>
        <v>70000</v>
      </c>
      <c r="Q23" s="36"/>
      <c r="R23" s="36"/>
    </row>
    <row r="24" ht="18.75" customHeight="1">
      <c r="B24" s="37" t="s">
        <v>18</v>
      </c>
      <c r="C24" s="38"/>
      <c r="D24" s="38"/>
      <c r="E24" s="38" t="s">
        <v>35</v>
      </c>
      <c r="F24" s="38" t="s">
        <v>35</v>
      </c>
      <c r="G24" s="38" t="s">
        <v>35</v>
      </c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19</v>
      </c>
      <c r="C25" s="49"/>
      <c r="D25" s="49"/>
      <c r="E25" s="49">
        <v>46149.0</v>
      </c>
      <c r="F25" s="49">
        <v>46149.0</v>
      </c>
      <c r="G25" s="49">
        <v>46149.0</v>
      </c>
      <c r="H25" s="42"/>
      <c r="I25" s="42"/>
      <c r="J25" s="42"/>
      <c r="K25" s="42"/>
      <c r="L25" s="42"/>
      <c r="M25" s="42"/>
      <c r="N25" s="42"/>
      <c r="O25" s="43"/>
      <c r="P25" s="22"/>
      <c r="Q25" s="36"/>
      <c r="R25" s="36"/>
    </row>
    <row r="26" ht="18.75" customHeight="1">
      <c r="A26" s="84" t="s">
        <v>176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4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19</v>
      </c>
      <c r="C28" s="25"/>
      <c r="D28" s="25"/>
      <c r="E28" s="25"/>
      <c r="F28" s="27"/>
      <c r="G28" s="27"/>
      <c r="H28" s="27"/>
      <c r="I28" s="27"/>
      <c r="J28" s="27"/>
      <c r="K28" s="27"/>
      <c r="L28" s="27"/>
      <c r="M28" s="27"/>
      <c r="N28" s="27"/>
      <c r="O28" s="43"/>
      <c r="P28" s="22"/>
      <c r="Q28" s="36"/>
      <c r="R28" s="36"/>
    </row>
    <row r="29" ht="18.75" customHeight="1">
      <c r="A29" s="85" t="s">
        <v>177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4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19</v>
      </c>
      <c r="C31" s="49"/>
      <c r="D31" s="49"/>
      <c r="E31" s="49"/>
      <c r="F31" s="49"/>
      <c r="G31" s="51"/>
      <c r="H31" s="42"/>
      <c r="I31" s="42"/>
      <c r="J31" s="42"/>
      <c r="K31" s="42"/>
      <c r="L31" s="42"/>
      <c r="M31" s="42"/>
      <c r="N31" s="42"/>
      <c r="O31" s="43"/>
      <c r="P31" s="22"/>
      <c r="Q31" s="36"/>
      <c r="R31" s="36"/>
    </row>
    <row r="32" ht="18.75" customHeight="1">
      <c r="A32" s="84" t="s">
        <v>178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4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19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43"/>
      <c r="P34" s="22"/>
      <c r="Q34" s="36"/>
      <c r="R34" s="36"/>
    </row>
    <row r="35" ht="18.75" customHeight="1">
      <c r="A35" s="85" t="s">
        <v>179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4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19</v>
      </c>
      <c r="C37" s="51"/>
      <c r="D37" s="51"/>
      <c r="E37" s="51"/>
      <c r="F37" s="51"/>
      <c r="G37" s="42"/>
      <c r="H37" s="42"/>
      <c r="I37" s="42"/>
      <c r="J37" s="42"/>
      <c r="K37" s="42"/>
      <c r="L37" s="42"/>
      <c r="M37" s="42"/>
      <c r="N37" s="42"/>
      <c r="O37" s="43"/>
      <c r="P37" s="22"/>
      <c r="Q37" s="36"/>
      <c r="R37" s="36"/>
    </row>
    <row r="38" ht="18.75" customHeight="1">
      <c r="A38" s="84" t="s">
        <v>180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4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19</v>
      </c>
      <c r="C40" s="45"/>
      <c r="D40" s="45"/>
      <c r="E40" s="45"/>
      <c r="F40" s="45"/>
      <c r="G40" s="45"/>
      <c r="H40" s="25"/>
      <c r="I40" s="25"/>
      <c r="J40" s="25"/>
      <c r="K40" s="25"/>
      <c r="L40" s="25"/>
      <c r="M40" s="25"/>
      <c r="N40" s="25"/>
      <c r="O40" s="43"/>
      <c r="P40" s="22"/>
      <c r="Q40" s="36"/>
      <c r="R40" s="36"/>
    </row>
    <row r="41" ht="18.75" customHeight="1">
      <c r="A41" s="117" t="s">
        <v>181</v>
      </c>
      <c r="B41" s="118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4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119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120" t="s">
        <v>19</v>
      </c>
      <c r="C43" s="52"/>
      <c r="D43" s="52"/>
      <c r="E43" s="52"/>
      <c r="F43" s="49"/>
      <c r="G43" s="51"/>
      <c r="H43" s="42"/>
      <c r="I43" s="42"/>
      <c r="J43" s="42"/>
      <c r="K43" s="42"/>
      <c r="L43" s="42"/>
      <c r="M43" s="42"/>
      <c r="N43" s="42"/>
      <c r="O43" s="43"/>
      <c r="P43" s="22"/>
      <c r="Q43" s="36"/>
      <c r="R43" s="36"/>
    </row>
    <row r="44" ht="18.75" customHeight="1">
      <c r="A44" s="87" t="s">
        <v>182</v>
      </c>
      <c r="B44" s="11" t="s">
        <v>17</v>
      </c>
      <c r="C44" s="12">
        <v>60000.0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 t="s">
        <v>26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19</v>
      </c>
      <c r="C46" s="45">
        <v>46079.0</v>
      </c>
      <c r="D46" s="45"/>
      <c r="E46" s="45"/>
      <c r="F46" s="45"/>
      <c r="G46" s="25"/>
      <c r="H46" s="54"/>
      <c r="I46" s="54"/>
      <c r="J46" s="54"/>
      <c r="K46" s="54"/>
      <c r="L46" s="54"/>
      <c r="M46" s="54"/>
      <c r="N46" s="54"/>
      <c r="O46" s="43"/>
      <c r="P46" s="22"/>
      <c r="Q46" s="36"/>
      <c r="R46" s="36"/>
    </row>
    <row r="47" ht="18.75" customHeight="1">
      <c r="A47" s="85" t="s">
        <v>183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4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19</v>
      </c>
      <c r="C49" s="49"/>
      <c r="D49" s="49"/>
      <c r="E49" s="49"/>
      <c r="F49" s="49"/>
      <c r="G49" s="49"/>
      <c r="H49" s="51"/>
      <c r="I49" s="51"/>
      <c r="J49" s="51"/>
      <c r="K49" s="51"/>
      <c r="L49" s="51"/>
      <c r="M49" s="51"/>
      <c r="N49" s="51"/>
      <c r="O49" s="43"/>
      <c r="P49" s="22"/>
      <c r="Q49" s="36"/>
      <c r="R49" s="36"/>
    </row>
    <row r="50" ht="18.75" customHeight="1">
      <c r="A50" s="84" t="s">
        <v>184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4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19</v>
      </c>
      <c r="C52" s="25"/>
      <c r="D52" s="25"/>
      <c r="E52" s="25"/>
      <c r="F52" s="27"/>
      <c r="G52" s="27"/>
      <c r="H52" s="27"/>
      <c r="I52" s="27"/>
      <c r="J52" s="27"/>
      <c r="K52" s="27"/>
      <c r="L52" s="27"/>
      <c r="M52" s="27"/>
      <c r="N52" s="27"/>
      <c r="O52" s="43"/>
      <c r="P52" s="22"/>
      <c r="Q52" s="36"/>
      <c r="R52" s="36"/>
    </row>
    <row r="53" ht="18.75" customHeight="1">
      <c r="A53" s="88"/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4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19</v>
      </c>
      <c r="C55" s="49"/>
      <c r="D55" s="49"/>
      <c r="E55" s="49"/>
      <c r="F55" s="49"/>
      <c r="G55" s="49"/>
      <c r="H55" s="51"/>
      <c r="I55" s="42"/>
      <c r="J55" s="42"/>
      <c r="K55" s="42"/>
      <c r="L55" s="42"/>
      <c r="M55" s="42"/>
      <c r="N55" s="42"/>
      <c r="O55" s="43"/>
      <c r="P55" s="22"/>
      <c r="Q55" s="36"/>
      <c r="R55" s="36"/>
    </row>
    <row r="56" ht="18.75" customHeight="1">
      <c r="A56" s="89"/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4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19</v>
      </c>
      <c r="C58" s="58"/>
      <c r="D58" s="58"/>
      <c r="E58" s="58"/>
      <c r="F58" s="60"/>
      <c r="G58" s="60"/>
      <c r="H58" s="60"/>
      <c r="I58" s="60"/>
      <c r="J58" s="60"/>
      <c r="K58" s="60"/>
      <c r="L58" s="60"/>
      <c r="M58" s="60"/>
      <c r="N58" s="60"/>
      <c r="O58" s="43"/>
      <c r="P58" s="22"/>
      <c r="Q58" s="36"/>
      <c r="R58" s="36"/>
    </row>
    <row r="59" ht="18.75" customHeight="1">
      <c r="A59" s="92"/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4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19</v>
      </c>
      <c r="C61" s="51"/>
      <c r="D61" s="51"/>
      <c r="E61" s="51"/>
      <c r="F61" s="51"/>
      <c r="G61" s="42"/>
      <c r="H61" s="42"/>
      <c r="I61" s="42"/>
      <c r="J61" s="42"/>
      <c r="K61" s="42"/>
      <c r="L61" s="42"/>
      <c r="M61" s="42"/>
      <c r="N61" s="42"/>
      <c r="O61" s="43"/>
      <c r="P61" s="22"/>
      <c r="Q61" s="36"/>
      <c r="R61" s="36"/>
    </row>
    <row r="62" ht="18.75" customHeight="1">
      <c r="A62" s="89"/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4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19</v>
      </c>
      <c r="C64" s="45"/>
      <c r="D64" s="45"/>
      <c r="E64" s="45"/>
      <c r="F64" s="27"/>
      <c r="G64" s="27"/>
      <c r="H64" s="27"/>
      <c r="I64" s="27"/>
      <c r="J64" s="27"/>
      <c r="K64" s="27"/>
      <c r="L64" s="27"/>
      <c r="M64" s="27"/>
      <c r="N64" s="27"/>
      <c r="O64" s="43"/>
      <c r="P64" s="22"/>
      <c r="Q64" s="36"/>
      <c r="R64" s="36"/>
    </row>
    <row r="65" ht="18.75" customHeight="1">
      <c r="A65" s="92"/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4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19</v>
      </c>
      <c r="C67" s="49"/>
      <c r="D67" s="49"/>
      <c r="E67" s="49"/>
      <c r="F67" s="49"/>
      <c r="G67" s="52"/>
      <c r="H67" s="52"/>
      <c r="I67" s="66"/>
      <c r="J67" s="66"/>
      <c r="K67" s="66"/>
      <c r="L67" s="66"/>
      <c r="M67" s="66"/>
      <c r="N67" s="66"/>
      <c r="O67" s="43"/>
      <c r="P67" s="22"/>
      <c r="Q67" s="36"/>
      <c r="R67" s="36"/>
    </row>
    <row r="68" ht="18.75" customHeight="1">
      <c r="A68" s="89"/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4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19</v>
      </c>
      <c r="C70" s="45"/>
      <c r="D70" s="45"/>
      <c r="E70" s="45"/>
      <c r="F70" s="45"/>
      <c r="G70" s="25"/>
      <c r="H70" s="25"/>
      <c r="I70" s="25"/>
      <c r="J70" s="25"/>
      <c r="K70" s="25"/>
      <c r="L70" s="25"/>
      <c r="M70" s="25"/>
      <c r="N70" s="25"/>
      <c r="O70" s="43"/>
      <c r="P70" s="22"/>
      <c r="Q70" s="36"/>
      <c r="R70" s="36"/>
    </row>
    <row r="71">
      <c r="A71" s="67"/>
      <c r="B71" s="68"/>
      <c r="C71" s="68"/>
      <c r="D71" s="68"/>
      <c r="E71" s="68"/>
      <c r="F71" s="68"/>
      <c r="G71" s="68"/>
      <c r="H71" s="68"/>
      <c r="I71" s="68"/>
    </row>
    <row r="72">
      <c r="A72" s="67"/>
      <c r="B72" s="68"/>
      <c r="C72" s="68"/>
      <c r="D72" s="68"/>
      <c r="E72" s="68"/>
      <c r="F72" s="68"/>
      <c r="G72" s="68"/>
      <c r="H72" s="68"/>
      <c r="I72" s="68"/>
    </row>
    <row r="73">
      <c r="A73" s="67"/>
      <c r="B73" s="68"/>
      <c r="C73" s="68"/>
      <c r="D73" s="68"/>
      <c r="E73" s="68"/>
      <c r="F73" s="68"/>
      <c r="G73" s="68"/>
      <c r="H73" s="68"/>
      <c r="I73" s="68"/>
    </row>
    <row r="74">
      <c r="A74" s="67"/>
      <c r="B74" s="68"/>
      <c r="C74" s="68"/>
      <c r="D74" s="68"/>
      <c r="E74" s="68"/>
      <c r="F74" s="68"/>
      <c r="G74" s="68"/>
      <c r="H74" s="68"/>
      <c r="I74" s="68"/>
    </row>
    <row r="75">
      <c r="A75" s="67"/>
      <c r="B75" s="68"/>
      <c r="C75" s="68"/>
      <c r="D75" s="68"/>
      <c r="E75" s="68"/>
      <c r="F75" s="68"/>
      <c r="G75" s="68"/>
      <c r="H75" s="68"/>
      <c r="I75" s="68"/>
    </row>
    <row r="76">
      <c r="A76" s="67"/>
      <c r="B76" s="68"/>
      <c r="C76" s="68"/>
      <c r="D76" s="68"/>
      <c r="E76" s="68"/>
      <c r="F76" s="68"/>
      <c r="G76" s="68"/>
      <c r="H76" s="68"/>
      <c r="I76" s="68"/>
    </row>
    <row r="77">
      <c r="A77" s="67"/>
      <c r="B77" s="68"/>
      <c r="C77" s="68"/>
      <c r="D77" s="68"/>
      <c r="E77" s="68"/>
      <c r="F77" s="68"/>
      <c r="G77" s="68"/>
      <c r="H77" s="68"/>
      <c r="I77" s="68"/>
    </row>
    <row r="78">
      <c r="A78" s="67"/>
      <c r="B78" s="68"/>
      <c r="C78" s="68"/>
      <c r="D78" s="68"/>
      <c r="E78" s="68"/>
      <c r="F78" s="68"/>
      <c r="G78" s="68"/>
      <c r="H78" s="68"/>
      <c r="I78" s="68"/>
    </row>
    <row r="79">
      <c r="A79" s="67"/>
      <c r="B79" s="68"/>
      <c r="C79" s="68"/>
      <c r="D79" s="68"/>
      <c r="E79" s="68"/>
      <c r="F79" s="68"/>
      <c r="G79" s="68"/>
      <c r="H79" s="68"/>
      <c r="I79" s="68"/>
    </row>
    <row r="80">
      <c r="A80" s="67"/>
      <c r="B80" s="68"/>
      <c r="C80" s="68"/>
      <c r="D80" s="68"/>
      <c r="E80" s="68"/>
      <c r="F80" s="68"/>
      <c r="G80" s="68"/>
      <c r="H80" s="68"/>
      <c r="I80" s="68"/>
    </row>
    <row r="81">
      <c r="A81" s="67"/>
      <c r="B81" s="68"/>
      <c r="C81" s="68"/>
      <c r="D81" s="68"/>
      <c r="E81" s="68"/>
      <c r="F81" s="68"/>
      <c r="G81" s="68"/>
      <c r="H81" s="68"/>
      <c r="I81" s="68"/>
    </row>
    <row r="82">
      <c r="A82" s="67"/>
      <c r="B82" s="68"/>
      <c r="C82" s="68"/>
      <c r="D82" s="68"/>
      <c r="E82" s="68"/>
      <c r="F82" s="68"/>
      <c r="G82" s="68"/>
      <c r="H82" s="68"/>
      <c r="I82" s="68"/>
    </row>
    <row r="83">
      <c r="A83" s="67"/>
      <c r="B83" s="68"/>
      <c r="C83" s="68"/>
      <c r="D83" s="68"/>
      <c r="E83" s="68"/>
      <c r="F83" s="68"/>
      <c r="G83" s="68"/>
      <c r="H83" s="68"/>
      <c r="I83" s="68"/>
    </row>
    <row r="84">
      <c r="A84" s="67"/>
      <c r="B84" s="68"/>
      <c r="C84" s="68"/>
      <c r="D84" s="68"/>
      <c r="E84" s="68"/>
      <c r="F84" s="68"/>
      <c r="G84" s="68"/>
      <c r="H84" s="68"/>
      <c r="I84" s="68"/>
    </row>
    <row r="85">
      <c r="A85" s="67"/>
      <c r="B85" s="68"/>
      <c r="C85" s="68"/>
      <c r="D85" s="68"/>
      <c r="E85" s="68"/>
      <c r="F85" s="68"/>
      <c r="G85" s="68"/>
      <c r="H85" s="68"/>
      <c r="I85" s="68"/>
    </row>
    <row r="86">
      <c r="A86" s="67"/>
      <c r="B86" s="68"/>
      <c r="C86" s="68"/>
      <c r="D86" s="68"/>
      <c r="E86" s="68"/>
      <c r="F86" s="68"/>
      <c r="G86" s="68"/>
      <c r="H86" s="68"/>
      <c r="I86" s="68"/>
    </row>
    <row r="87">
      <c r="A87" s="67"/>
      <c r="B87" s="68"/>
      <c r="C87" s="68"/>
      <c r="D87" s="68"/>
      <c r="E87" s="68"/>
      <c r="F87" s="68"/>
      <c r="G87" s="68"/>
      <c r="H87" s="68"/>
      <c r="I87" s="68"/>
    </row>
    <row r="88">
      <c r="A88" s="67"/>
      <c r="B88" s="68"/>
      <c r="C88" s="68"/>
      <c r="D88" s="68"/>
      <c r="E88" s="68"/>
      <c r="F88" s="68"/>
      <c r="G88" s="68"/>
      <c r="H88" s="68"/>
      <c r="I88" s="68"/>
    </row>
    <row r="89">
      <c r="A89" s="67"/>
      <c r="B89" s="68"/>
      <c r="C89" s="68"/>
      <c r="D89" s="68"/>
      <c r="E89" s="68"/>
      <c r="F89" s="68"/>
      <c r="G89" s="68"/>
      <c r="H89" s="68"/>
      <c r="I89" s="68"/>
    </row>
    <row r="90">
      <c r="A90" s="67"/>
      <c r="B90" s="68"/>
      <c r="C90" s="68"/>
      <c r="D90" s="68"/>
      <c r="E90" s="68"/>
      <c r="F90" s="68"/>
      <c r="G90" s="68"/>
      <c r="H90" s="68"/>
      <c r="I90" s="68"/>
    </row>
    <row r="91">
      <c r="A91" s="67"/>
      <c r="B91" s="68"/>
      <c r="C91" s="68"/>
      <c r="D91" s="68"/>
      <c r="E91" s="68"/>
      <c r="F91" s="68"/>
      <c r="G91" s="68"/>
      <c r="H91" s="68"/>
      <c r="I91" s="68"/>
    </row>
    <row r="92">
      <c r="A92" s="67"/>
      <c r="B92" s="68"/>
      <c r="C92" s="68"/>
      <c r="D92" s="68"/>
      <c r="E92" s="68"/>
      <c r="F92" s="68"/>
      <c r="G92" s="68"/>
      <c r="H92" s="68"/>
      <c r="I92" s="68"/>
    </row>
    <row r="93">
      <c r="A93" s="67"/>
      <c r="B93" s="68"/>
      <c r="C93" s="68"/>
      <c r="D93" s="68"/>
      <c r="E93" s="68"/>
      <c r="F93" s="68"/>
      <c r="G93" s="68"/>
      <c r="H93" s="68"/>
      <c r="I93" s="68"/>
    </row>
    <row r="94">
      <c r="A94" s="67"/>
      <c r="B94" s="68"/>
      <c r="C94" s="68"/>
      <c r="D94" s="68"/>
      <c r="E94" s="68"/>
      <c r="F94" s="68"/>
      <c r="G94" s="68"/>
      <c r="H94" s="68"/>
      <c r="I94" s="68"/>
    </row>
    <row r="95">
      <c r="A95" s="67"/>
      <c r="B95" s="68"/>
      <c r="C95" s="68"/>
      <c r="D95" s="68"/>
      <c r="E95" s="68"/>
      <c r="F95" s="68"/>
      <c r="G95" s="68"/>
      <c r="H95" s="68"/>
      <c r="I95" s="68"/>
    </row>
    <row r="96">
      <c r="A96" s="67"/>
      <c r="B96" s="68"/>
      <c r="C96" s="68"/>
      <c r="D96" s="68"/>
      <c r="E96" s="68"/>
      <c r="F96" s="68"/>
      <c r="G96" s="68"/>
      <c r="H96" s="68"/>
      <c r="I96" s="68"/>
    </row>
    <row r="97">
      <c r="A97" s="67"/>
      <c r="B97" s="68"/>
      <c r="C97" s="68"/>
      <c r="D97" s="68"/>
      <c r="E97" s="68"/>
      <c r="F97" s="68"/>
      <c r="G97" s="68"/>
      <c r="H97" s="68"/>
      <c r="I97" s="68"/>
    </row>
    <row r="98">
      <c r="A98" s="67"/>
      <c r="B98" s="68"/>
      <c r="C98" s="68"/>
      <c r="D98" s="68"/>
      <c r="E98" s="68"/>
      <c r="F98" s="68"/>
      <c r="G98" s="68"/>
      <c r="H98" s="68"/>
      <c r="I98" s="68"/>
    </row>
    <row r="99">
      <c r="A99" s="67"/>
      <c r="B99" s="68"/>
      <c r="C99" s="68"/>
      <c r="D99" s="68"/>
      <c r="E99" s="68"/>
      <c r="F99" s="68"/>
      <c r="G99" s="68"/>
      <c r="H99" s="68"/>
      <c r="I99" s="68"/>
    </row>
    <row r="100">
      <c r="A100" s="67"/>
      <c r="B100" s="68"/>
      <c r="C100" s="68"/>
      <c r="D100" s="68"/>
      <c r="E100" s="68"/>
      <c r="F100" s="68"/>
      <c r="G100" s="68"/>
      <c r="H100" s="68"/>
      <c r="I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P62:P64"/>
    <mergeCell ref="P65:P67"/>
    <mergeCell ref="O68:O70"/>
    <mergeCell ref="P68:P70"/>
    <mergeCell ref="P41:P43"/>
    <mergeCell ref="P44:P46"/>
    <mergeCell ref="P47:P49"/>
    <mergeCell ref="P50:P52"/>
    <mergeCell ref="P53:P55"/>
    <mergeCell ref="P56:P58"/>
    <mergeCell ref="P59:P61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 C66:N66 C69:N69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7" width="13.44"/>
    <col customWidth="1" min="16" max="16" width="16.44"/>
    <col customWidth="1" min="17" max="17" width="18.89"/>
  </cols>
  <sheetData>
    <row r="1" ht="37.5" customHeight="1">
      <c r="A1" s="122" t="s">
        <v>0</v>
      </c>
      <c r="B1" s="123"/>
      <c r="C1" s="124" t="s">
        <v>1</v>
      </c>
      <c r="D1" s="125" t="s">
        <v>2</v>
      </c>
      <c r="E1" s="126" t="s">
        <v>3</v>
      </c>
      <c r="F1" s="125" t="s">
        <v>4</v>
      </c>
      <c r="G1" s="126" t="s">
        <v>5</v>
      </c>
      <c r="H1" s="125" t="s">
        <v>6</v>
      </c>
      <c r="I1" s="126" t="s">
        <v>7</v>
      </c>
      <c r="J1" s="125" t="s">
        <v>8</v>
      </c>
      <c r="K1" s="126" t="s">
        <v>9</v>
      </c>
      <c r="L1" s="125" t="s">
        <v>10</v>
      </c>
      <c r="M1" s="126" t="s">
        <v>11</v>
      </c>
      <c r="N1" s="127" t="s">
        <v>12</v>
      </c>
      <c r="O1" s="7" t="s">
        <v>13</v>
      </c>
      <c r="P1" s="8" t="s">
        <v>14</v>
      </c>
      <c r="Q1" s="9" t="s">
        <v>15</v>
      </c>
    </row>
    <row r="2" ht="18.75" customHeight="1">
      <c r="A2" s="128" t="s">
        <v>185</v>
      </c>
      <c r="B2" s="11" t="s">
        <v>17</v>
      </c>
      <c r="C2" s="12">
        <v>30000.0</v>
      </c>
      <c r="D2" s="12">
        <v>27000.0</v>
      </c>
      <c r="E2" s="12">
        <v>27000.0</v>
      </c>
      <c r="F2" s="12">
        <v>27000.0</v>
      </c>
      <c r="G2" s="12">
        <v>27000.0</v>
      </c>
      <c r="H2" s="12">
        <v>27000.0</v>
      </c>
      <c r="I2" s="12">
        <v>30000.0</v>
      </c>
      <c r="J2" s="12">
        <v>30000.0</v>
      </c>
      <c r="K2" s="12"/>
      <c r="L2" s="12"/>
      <c r="M2" s="13"/>
      <c r="N2" s="14">
        <f>SUMIF(E3:M3,"Efectivo",E2:M2)</f>
        <v>108000</v>
      </c>
      <c r="O2" s="15">
        <f>SUMIF(E3:M3,"Mercado Pago",E2:M2)</f>
        <v>60000</v>
      </c>
      <c r="P2" s="16">
        <f t="shared" ref="P2:Q2" si="1">SUM(N2:N70)</f>
        <v>235000</v>
      </c>
      <c r="Q2" s="17">
        <f t="shared" si="1"/>
        <v>428000</v>
      </c>
    </row>
    <row r="3" ht="18.75" customHeight="1">
      <c r="A3" s="94"/>
      <c r="B3" s="18" t="s">
        <v>18</v>
      </c>
      <c r="C3" s="19" t="s">
        <v>26</v>
      </c>
      <c r="D3" s="19" t="s">
        <v>26</v>
      </c>
      <c r="E3" s="19" t="s">
        <v>26</v>
      </c>
      <c r="F3" s="19" t="s">
        <v>26</v>
      </c>
      <c r="G3" s="19" t="s">
        <v>26</v>
      </c>
      <c r="H3" s="19" t="s">
        <v>26</v>
      </c>
      <c r="I3" s="19" t="s">
        <v>35</v>
      </c>
      <c r="J3" s="19" t="s">
        <v>35</v>
      </c>
      <c r="K3" s="19"/>
      <c r="L3" s="19"/>
      <c r="M3" s="20"/>
      <c r="P3" s="21"/>
    </row>
    <row r="4" ht="18.75" customHeight="1">
      <c r="A4" s="95"/>
      <c r="B4" s="23" t="s">
        <v>19</v>
      </c>
      <c r="C4" s="46">
        <v>45810.0</v>
      </c>
      <c r="D4" s="46">
        <v>45810.0</v>
      </c>
      <c r="E4" s="46">
        <v>45810.0</v>
      </c>
      <c r="F4" s="46">
        <v>45810.0</v>
      </c>
      <c r="G4" s="46">
        <v>45810.0</v>
      </c>
      <c r="H4" s="46">
        <v>45810.0</v>
      </c>
      <c r="I4" s="26">
        <v>45964.0</v>
      </c>
      <c r="J4" s="26">
        <v>45964.0</v>
      </c>
      <c r="K4" s="27"/>
      <c r="L4" s="27"/>
      <c r="M4" s="28"/>
      <c r="N4" s="22"/>
      <c r="O4" s="22"/>
      <c r="P4" s="29"/>
    </row>
    <row r="5" ht="18.75" customHeight="1">
      <c r="A5" s="129" t="s">
        <v>186</v>
      </c>
      <c r="B5" s="31" t="s">
        <v>17</v>
      </c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4">
        <f>SUMIF(E6:M6,"Efectivo",E5:M5)</f>
        <v>0</v>
      </c>
      <c r="O5" s="35">
        <f>SUMIF(E6:M6,"Mercado Pago",E5:M5)</f>
        <v>0</v>
      </c>
      <c r="P5" s="36"/>
      <c r="Q5" s="36"/>
    </row>
    <row r="6" ht="18.75" customHeight="1">
      <c r="A6" s="94"/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  <c r="P6" s="36"/>
      <c r="Q6" s="36"/>
    </row>
    <row r="7" ht="18.75" customHeight="1">
      <c r="A7" s="95"/>
      <c r="B7" s="40" t="s">
        <v>19</v>
      </c>
      <c r="C7" s="41"/>
      <c r="D7" s="41"/>
      <c r="E7" s="42"/>
      <c r="F7" s="42"/>
      <c r="G7" s="42"/>
      <c r="H7" s="42"/>
      <c r="I7" s="42"/>
      <c r="J7" s="42"/>
      <c r="K7" s="42"/>
      <c r="L7" s="42"/>
      <c r="M7" s="42"/>
      <c r="N7" s="43"/>
      <c r="O7" s="22"/>
      <c r="P7" s="36"/>
      <c r="Q7" s="36"/>
    </row>
    <row r="8" ht="18.75" customHeight="1">
      <c r="A8" s="128" t="s">
        <v>187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44">
        <f>SUMIF(E9:M9,"Efectivo",E8:M8)</f>
        <v>0</v>
      </c>
      <c r="O8" s="15">
        <f>SUMIF(E9:M9,"Mercado Pago",E8:M8)</f>
        <v>0</v>
      </c>
      <c r="P8" s="36"/>
      <c r="Q8" s="36"/>
    </row>
    <row r="9" ht="18.75" customHeight="1">
      <c r="A9" s="94"/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9"/>
      <c r="P9" s="36"/>
      <c r="Q9" s="36"/>
    </row>
    <row r="10" ht="18.75" customHeight="1">
      <c r="A10" s="95"/>
      <c r="B10" s="23" t="s">
        <v>19</v>
      </c>
      <c r="C10" s="45"/>
      <c r="D10" s="45"/>
      <c r="E10" s="46"/>
      <c r="F10" s="47"/>
      <c r="G10" s="27"/>
      <c r="H10" s="27"/>
      <c r="I10" s="27"/>
      <c r="J10" s="27"/>
      <c r="K10" s="27"/>
      <c r="L10" s="27"/>
      <c r="M10" s="27"/>
      <c r="N10" s="43"/>
      <c r="O10" s="22"/>
      <c r="P10" s="36"/>
      <c r="Q10" s="36"/>
    </row>
    <row r="11" ht="18.75" customHeight="1">
      <c r="A11" s="129" t="s">
        <v>188</v>
      </c>
      <c r="B11" s="31" t="s">
        <v>17</v>
      </c>
      <c r="C11" s="32">
        <v>30000.0</v>
      </c>
      <c r="D11" s="32"/>
      <c r="E11" s="32"/>
      <c r="F11" s="32"/>
      <c r="G11" s="32"/>
      <c r="H11" s="48"/>
      <c r="I11" s="48"/>
      <c r="J11" s="48"/>
      <c r="K11" s="48"/>
      <c r="L11" s="48"/>
      <c r="M11" s="48"/>
      <c r="N11" s="44">
        <f>SUMIF(E12:M12,"Efectivo",E11:M11)</f>
        <v>0</v>
      </c>
      <c r="O11" s="15">
        <f>SUMIF(E12:M12,"Mercado Pago",E11:M11)</f>
        <v>0</v>
      </c>
      <c r="P11" s="36"/>
      <c r="Q11" s="36"/>
    </row>
    <row r="12" ht="18.75" customHeight="1">
      <c r="A12" s="94"/>
      <c r="B12" s="37" t="s">
        <v>18</v>
      </c>
      <c r="C12" s="38" t="s">
        <v>35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  <c r="P12" s="36"/>
      <c r="Q12" s="36"/>
    </row>
    <row r="13" ht="18.75" customHeight="1">
      <c r="A13" s="95"/>
      <c r="B13" s="40" t="s">
        <v>19</v>
      </c>
      <c r="C13" s="49">
        <v>45708.0</v>
      </c>
      <c r="D13" s="49"/>
      <c r="E13" s="49"/>
      <c r="F13" s="49"/>
      <c r="G13" s="50"/>
      <c r="H13" s="51"/>
      <c r="I13" s="51"/>
      <c r="J13" s="51"/>
      <c r="K13" s="51"/>
      <c r="L13" s="51"/>
      <c r="M13" s="51"/>
      <c r="N13" s="43"/>
      <c r="O13" s="22"/>
      <c r="P13" s="36"/>
      <c r="Q13" s="36"/>
    </row>
    <row r="14" ht="18.75" customHeight="1">
      <c r="A14" s="128" t="s">
        <v>189</v>
      </c>
      <c r="B14" s="11" t="s">
        <v>17</v>
      </c>
      <c r="C14" s="12"/>
      <c r="D14" s="12">
        <v>25000.0</v>
      </c>
      <c r="E14" s="12"/>
      <c r="F14" s="12"/>
      <c r="G14" s="12"/>
      <c r="H14" s="12"/>
      <c r="I14" s="12"/>
      <c r="J14" s="12"/>
      <c r="K14" s="12"/>
      <c r="L14" s="12"/>
      <c r="M14" s="12"/>
      <c r="N14" s="44">
        <f>SUMIF(E15:M15,"Efectivo",E14:M14)</f>
        <v>0</v>
      </c>
      <c r="O14" s="15">
        <f>SUMIF(E15:M15,"Mercado Pago",E14:M14)</f>
        <v>0</v>
      </c>
      <c r="P14" s="36"/>
      <c r="Q14" s="36"/>
    </row>
    <row r="15" ht="18.75" customHeight="1">
      <c r="A15" s="94"/>
      <c r="B15" s="18" t="s">
        <v>18</v>
      </c>
      <c r="C15" s="19"/>
      <c r="D15" s="19" t="s">
        <v>35</v>
      </c>
      <c r="E15" s="19"/>
      <c r="F15" s="19"/>
      <c r="G15" s="19"/>
      <c r="H15" s="19"/>
      <c r="I15" s="19"/>
      <c r="J15" s="19"/>
      <c r="K15" s="19"/>
      <c r="L15" s="19"/>
      <c r="M15" s="19"/>
      <c r="N15" s="39"/>
      <c r="P15" s="36"/>
      <c r="Q15" s="36"/>
    </row>
    <row r="16" ht="18.75" customHeight="1">
      <c r="A16" s="95"/>
      <c r="B16" s="23" t="s">
        <v>19</v>
      </c>
      <c r="C16" s="25"/>
      <c r="D16" s="25">
        <v>45737.0</v>
      </c>
      <c r="E16" s="27"/>
      <c r="F16" s="27"/>
      <c r="G16" s="27"/>
      <c r="H16" s="27"/>
      <c r="I16" s="27"/>
      <c r="J16" s="27"/>
      <c r="K16" s="27"/>
      <c r="L16" s="27"/>
      <c r="M16" s="27"/>
      <c r="N16" s="43"/>
      <c r="O16" s="22"/>
      <c r="P16" s="36"/>
      <c r="Q16" s="36"/>
    </row>
    <row r="17" ht="18.75" customHeight="1">
      <c r="A17" s="129" t="s">
        <v>190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44">
        <f>SUMIF(E18:M18,"Efectivo",E17:M17)</f>
        <v>0</v>
      </c>
      <c r="O17" s="15">
        <f>SUMIF(E18:M18,"Mercado Pago",E17:M17)</f>
        <v>0</v>
      </c>
      <c r="P17" s="36"/>
      <c r="Q17" s="36"/>
    </row>
    <row r="18" ht="18.75" customHeight="1">
      <c r="A18" s="94"/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  <c r="P18" s="36"/>
      <c r="Q18" s="36"/>
    </row>
    <row r="19" ht="18.75" customHeight="1">
      <c r="A19" s="95"/>
      <c r="B19" s="40" t="s">
        <v>19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  <c r="O19" s="22"/>
      <c r="P19" s="36"/>
      <c r="Q19" s="36"/>
    </row>
    <row r="20" ht="18.75" customHeight="1">
      <c r="A20" s="128" t="s">
        <v>191</v>
      </c>
      <c r="B20" s="11" t="s">
        <v>17</v>
      </c>
      <c r="C20" s="12">
        <v>30000.0</v>
      </c>
      <c r="D20" s="12">
        <v>25000.0</v>
      </c>
      <c r="E20" s="12">
        <v>25000.0</v>
      </c>
      <c r="F20" s="12">
        <v>30000.0</v>
      </c>
      <c r="G20" s="12">
        <v>20000.0</v>
      </c>
      <c r="H20" s="12"/>
      <c r="I20" s="12"/>
      <c r="J20" s="12"/>
      <c r="K20" s="12"/>
      <c r="L20" s="12"/>
      <c r="M20" s="12"/>
      <c r="N20" s="44">
        <f>SUMIF(E21:M21,"Efectivo",E20:M20)</f>
        <v>75000</v>
      </c>
      <c r="O20" s="15">
        <f>SUMIF(E21:M21,"Mercado Pago",E20:M20)</f>
        <v>0</v>
      </c>
      <c r="P20" s="36"/>
      <c r="Q20" s="36"/>
    </row>
    <row r="21" ht="18.75" customHeight="1">
      <c r="A21" s="94"/>
      <c r="B21" s="18" t="s">
        <v>18</v>
      </c>
      <c r="C21" s="19" t="s">
        <v>26</v>
      </c>
      <c r="D21" s="19" t="s">
        <v>26</v>
      </c>
      <c r="E21" s="19" t="s">
        <v>26</v>
      </c>
      <c r="F21" s="19" t="s">
        <v>26</v>
      </c>
      <c r="G21" s="19" t="s">
        <v>26</v>
      </c>
      <c r="H21" s="19"/>
      <c r="I21" s="19"/>
      <c r="J21" s="19"/>
      <c r="K21" s="19"/>
      <c r="L21" s="19"/>
      <c r="M21" s="19"/>
      <c r="N21" s="39"/>
      <c r="P21" s="36"/>
      <c r="Q21" s="36"/>
    </row>
    <row r="22" ht="18.75" customHeight="1">
      <c r="A22" s="95"/>
      <c r="B22" s="23" t="s">
        <v>19</v>
      </c>
      <c r="C22" s="25">
        <v>45755.0</v>
      </c>
      <c r="D22" s="25">
        <v>45755.0</v>
      </c>
      <c r="E22" s="25">
        <v>45814.0</v>
      </c>
      <c r="F22" s="26">
        <v>45880.0</v>
      </c>
      <c r="G22" s="26">
        <v>45880.0</v>
      </c>
      <c r="H22" s="27"/>
      <c r="I22" s="27"/>
      <c r="J22" s="27"/>
      <c r="K22" s="27"/>
      <c r="L22" s="27"/>
      <c r="M22" s="27"/>
      <c r="N22" s="43"/>
      <c r="O22" s="22"/>
      <c r="P22" s="36"/>
      <c r="Q22" s="36"/>
    </row>
    <row r="23" ht="18.75" customHeight="1">
      <c r="A23" s="129" t="s">
        <v>192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44">
        <f>SUMIF(E24:M24,"Efectivo",E23:M23)</f>
        <v>0</v>
      </c>
      <c r="O23" s="15">
        <f>SUMIF(E24:M24,"Mercado Pago",E23:M23)</f>
        <v>0</v>
      </c>
      <c r="P23" s="36"/>
      <c r="Q23" s="36"/>
    </row>
    <row r="24" ht="18.75" customHeight="1">
      <c r="A24" s="94"/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9"/>
      <c r="P24" s="36"/>
      <c r="Q24" s="36"/>
    </row>
    <row r="25" ht="18.75" customHeight="1">
      <c r="A25" s="95"/>
      <c r="B25" s="40" t="s">
        <v>19</v>
      </c>
      <c r="C25" s="49"/>
      <c r="D25" s="49"/>
      <c r="E25" s="51"/>
      <c r="F25" s="42"/>
      <c r="G25" s="42"/>
      <c r="H25" s="42"/>
      <c r="I25" s="42"/>
      <c r="J25" s="42"/>
      <c r="K25" s="42"/>
      <c r="L25" s="42"/>
      <c r="M25" s="42"/>
      <c r="N25" s="43"/>
      <c r="O25" s="22"/>
      <c r="P25" s="36"/>
      <c r="Q25" s="36"/>
    </row>
    <row r="26" ht="18.75" customHeight="1">
      <c r="A26" s="84" t="s">
        <v>193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44">
        <f>SUMIF(E27:M27,"Efectivo",E26:M26)</f>
        <v>0</v>
      </c>
      <c r="O26" s="15">
        <f>SUMIF(E27:M27,"Mercado Pago",E26:M26)</f>
        <v>0</v>
      </c>
      <c r="P26" s="36"/>
      <c r="Q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39"/>
      <c r="P27" s="36"/>
      <c r="Q27" s="36"/>
    </row>
    <row r="28" ht="18.75" customHeight="1">
      <c r="A28" s="22"/>
      <c r="B28" s="23" t="s">
        <v>19</v>
      </c>
      <c r="C28" s="25"/>
      <c r="D28" s="25"/>
      <c r="E28" s="27"/>
      <c r="F28" s="27"/>
      <c r="G28" s="27"/>
      <c r="H28" s="27"/>
      <c r="I28" s="27"/>
      <c r="J28" s="27"/>
      <c r="K28" s="27"/>
      <c r="L28" s="27"/>
      <c r="M28" s="27"/>
      <c r="N28" s="43"/>
      <c r="O28" s="22"/>
      <c r="P28" s="36"/>
      <c r="Q28" s="36"/>
    </row>
    <row r="29" ht="18.75" customHeight="1">
      <c r="A29" s="85" t="s">
        <v>194</v>
      </c>
      <c r="B29" s="31" t="s">
        <v>17</v>
      </c>
      <c r="C29" s="32"/>
      <c r="D29" s="32">
        <v>27000.0</v>
      </c>
      <c r="E29" s="32">
        <v>27000.0</v>
      </c>
      <c r="F29" s="32"/>
      <c r="G29" s="32"/>
      <c r="H29" s="32"/>
      <c r="I29" s="32"/>
      <c r="J29" s="32"/>
      <c r="K29" s="32"/>
      <c r="L29" s="32"/>
      <c r="M29" s="32"/>
      <c r="N29" s="44">
        <f>SUMIF(E30:M30,"Efectivo",E29:M29)</f>
        <v>0</v>
      </c>
      <c r="O29" s="15">
        <f>SUMIF(E30:M30,"Mercado Pago",E29:M29)</f>
        <v>27000</v>
      </c>
      <c r="P29" s="36"/>
      <c r="Q29" s="36"/>
    </row>
    <row r="30" ht="18.75" customHeight="1">
      <c r="B30" s="37" t="s">
        <v>18</v>
      </c>
      <c r="C30" s="38"/>
      <c r="D30" s="38" t="s">
        <v>35</v>
      </c>
      <c r="E30" s="38" t="s">
        <v>35</v>
      </c>
      <c r="F30" s="38"/>
      <c r="G30" s="38"/>
      <c r="H30" s="38"/>
      <c r="I30" s="38"/>
      <c r="J30" s="38"/>
      <c r="K30" s="38"/>
      <c r="L30" s="38"/>
      <c r="M30" s="38"/>
      <c r="N30" s="39"/>
      <c r="P30" s="36"/>
      <c r="Q30" s="36"/>
    </row>
    <row r="31" ht="18.75" customHeight="1">
      <c r="A31" s="22"/>
      <c r="B31" s="40" t="s">
        <v>19</v>
      </c>
      <c r="C31" s="49"/>
      <c r="D31" s="49">
        <v>45812.0</v>
      </c>
      <c r="E31" s="49">
        <v>45812.0</v>
      </c>
      <c r="F31" s="51"/>
      <c r="G31" s="42"/>
      <c r="H31" s="42"/>
      <c r="I31" s="42"/>
      <c r="J31" s="42"/>
      <c r="K31" s="42"/>
      <c r="L31" s="42"/>
      <c r="M31" s="42"/>
      <c r="N31" s="43"/>
      <c r="O31" s="22"/>
      <c r="P31" s="36"/>
      <c r="Q31" s="36"/>
    </row>
    <row r="32" ht="18.75" customHeight="1">
      <c r="A32" s="84" t="s">
        <v>195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4">
        <f>SUMIF(E33:M33,"Efectivo",E32:M32)</f>
        <v>0</v>
      </c>
      <c r="O32" s="15">
        <f>SUMIF(E33:M33,"Mercado Pago",E32:M32)</f>
        <v>0</v>
      </c>
      <c r="P32" s="36"/>
      <c r="Q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39"/>
      <c r="P33" s="36"/>
      <c r="Q33" s="36"/>
    </row>
    <row r="34" ht="18.75" customHeight="1">
      <c r="A34" s="22"/>
      <c r="B34" s="23" t="s">
        <v>19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43"/>
      <c r="O34" s="22"/>
      <c r="P34" s="36"/>
      <c r="Q34" s="36"/>
    </row>
    <row r="35" ht="18.75" customHeight="1">
      <c r="A35" s="85" t="s">
        <v>196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44">
        <f>SUMIF(E36:M36,"Efectivo",E35:M35)</f>
        <v>0</v>
      </c>
      <c r="O35" s="15">
        <f>SUMIF(E36:M36,"Mercado Pago",E35:M35)</f>
        <v>0</v>
      </c>
      <c r="P35" s="36"/>
      <c r="Q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9"/>
      <c r="P36" s="36"/>
      <c r="Q36" s="36"/>
    </row>
    <row r="37" ht="18.75" customHeight="1">
      <c r="A37" s="22"/>
      <c r="B37" s="40" t="s">
        <v>19</v>
      </c>
      <c r="C37" s="51"/>
      <c r="D37" s="51"/>
      <c r="E37" s="51"/>
      <c r="F37" s="42"/>
      <c r="G37" s="42"/>
      <c r="H37" s="42"/>
      <c r="I37" s="42"/>
      <c r="J37" s="42"/>
      <c r="K37" s="42"/>
      <c r="L37" s="42"/>
      <c r="M37" s="42"/>
      <c r="N37" s="43"/>
      <c r="O37" s="22"/>
      <c r="P37" s="36"/>
      <c r="Q37" s="36"/>
    </row>
    <row r="38" ht="18.75" customHeight="1">
      <c r="A38" s="84" t="s">
        <v>197</v>
      </c>
      <c r="B38" s="11" t="s">
        <v>17</v>
      </c>
      <c r="C38" s="12">
        <v>30000.0</v>
      </c>
      <c r="D38" s="12">
        <v>27000.0</v>
      </c>
      <c r="E38" s="12">
        <v>27000.0</v>
      </c>
      <c r="F38" s="12">
        <v>27000.0</v>
      </c>
      <c r="G38" s="12"/>
      <c r="H38" s="12"/>
      <c r="I38" s="12"/>
      <c r="J38" s="12"/>
      <c r="K38" s="12"/>
      <c r="L38" s="12"/>
      <c r="M38" s="12"/>
      <c r="N38" s="44">
        <f>SUMIF(E39:M39,"Efectivo",E38:M38)</f>
        <v>0</v>
      </c>
      <c r="O38" s="15">
        <f>SUMIF(E39:M39,"Mercado Pago",E38:M38)</f>
        <v>54000</v>
      </c>
      <c r="P38" s="36"/>
      <c r="Q38" s="36"/>
    </row>
    <row r="39" ht="18.75" customHeight="1">
      <c r="B39" s="18" t="s">
        <v>18</v>
      </c>
      <c r="C39" s="19" t="s">
        <v>26</v>
      </c>
      <c r="D39" s="19" t="s">
        <v>35</v>
      </c>
      <c r="E39" s="19" t="s">
        <v>35</v>
      </c>
      <c r="F39" s="19" t="s">
        <v>35</v>
      </c>
      <c r="G39" s="19"/>
      <c r="H39" s="19"/>
      <c r="I39" s="19"/>
      <c r="J39" s="19"/>
      <c r="K39" s="19"/>
      <c r="L39" s="19"/>
      <c r="M39" s="19"/>
      <c r="N39" s="39"/>
      <c r="P39" s="36"/>
      <c r="Q39" s="36"/>
    </row>
    <row r="40" ht="18.75" customHeight="1">
      <c r="A40" s="22"/>
      <c r="B40" s="23" t="s">
        <v>19</v>
      </c>
      <c r="C40" s="45">
        <v>45715.0</v>
      </c>
      <c r="D40" s="45">
        <v>45828.0</v>
      </c>
      <c r="E40" s="45">
        <v>45828.0</v>
      </c>
      <c r="F40" s="45">
        <v>45852.0</v>
      </c>
      <c r="G40" s="25"/>
      <c r="H40" s="25"/>
      <c r="I40" s="25"/>
      <c r="J40" s="25"/>
      <c r="K40" s="25"/>
      <c r="L40" s="25"/>
      <c r="M40" s="25"/>
      <c r="N40" s="43"/>
      <c r="O40" s="22"/>
      <c r="P40" s="36"/>
      <c r="Q40" s="36"/>
    </row>
    <row r="41" ht="18.75" customHeight="1">
      <c r="A41" s="85" t="s">
        <v>198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44">
        <f>SUMIF(E42:M42,"Efectivo",E41:M41)</f>
        <v>0</v>
      </c>
      <c r="O41" s="15">
        <f>SUMIF(E42:M42,"Mercado Pago",E41:M41)</f>
        <v>0</v>
      </c>
      <c r="P41" s="36"/>
      <c r="Q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/>
      <c r="P42" s="36"/>
      <c r="Q42" s="36"/>
    </row>
    <row r="43" ht="18.75" customHeight="1">
      <c r="A43" s="22"/>
      <c r="B43" s="40" t="s">
        <v>19</v>
      </c>
      <c r="C43" s="52"/>
      <c r="D43" s="52"/>
      <c r="E43" s="49"/>
      <c r="F43" s="51"/>
      <c r="G43" s="42"/>
      <c r="H43" s="42"/>
      <c r="I43" s="42"/>
      <c r="J43" s="42"/>
      <c r="K43" s="42"/>
      <c r="L43" s="42"/>
      <c r="M43" s="42"/>
      <c r="N43" s="43"/>
      <c r="O43" s="22"/>
      <c r="P43" s="36"/>
      <c r="Q43" s="36"/>
    </row>
    <row r="44" ht="18.75" customHeight="1">
      <c r="A44" s="87" t="s">
        <v>199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44">
        <f>SUMIF(E45:M45,"Efectivo",E44:M44)</f>
        <v>0</v>
      </c>
      <c r="O44" s="15">
        <f>SUMIF(E45:M45,"Mercado Pago",E44:M44)</f>
        <v>0</v>
      </c>
      <c r="P44" s="36"/>
      <c r="Q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39"/>
      <c r="P45" s="36"/>
      <c r="Q45" s="36"/>
    </row>
    <row r="46" ht="18.75" customHeight="1">
      <c r="A46" s="22"/>
      <c r="B46" s="23" t="s">
        <v>19</v>
      </c>
      <c r="C46" s="45"/>
      <c r="D46" s="45"/>
      <c r="E46" s="45"/>
      <c r="F46" s="25"/>
      <c r="G46" s="54"/>
      <c r="H46" s="54"/>
      <c r="I46" s="54"/>
      <c r="J46" s="54"/>
      <c r="K46" s="54"/>
      <c r="L46" s="54"/>
      <c r="M46" s="54"/>
      <c r="N46" s="43"/>
      <c r="O46" s="22"/>
      <c r="P46" s="36"/>
      <c r="Q46" s="36"/>
    </row>
    <row r="47" ht="18.75" customHeight="1">
      <c r="A47" s="85" t="s">
        <v>200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44">
        <f>SUMIF(E48:M48,"Efectivo",E47:M47)</f>
        <v>0</v>
      </c>
      <c r="O47" s="15">
        <f>SUMIF(E48:M48,"Mercado Pago",E47:M47)</f>
        <v>0</v>
      </c>
      <c r="P47" s="36"/>
      <c r="Q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/>
      <c r="P48" s="36"/>
      <c r="Q48" s="36"/>
    </row>
    <row r="49" ht="18.75" customHeight="1">
      <c r="A49" s="22"/>
      <c r="B49" s="40" t="s">
        <v>19</v>
      </c>
      <c r="C49" s="49"/>
      <c r="D49" s="49"/>
      <c r="E49" s="49"/>
      <c r="F49" s="49"/>
      <c r="G49" s="51"/>
      <c r="H49" s="51"/>
      <c r="I49" s="51"/>
      <c r="J49" s="51"/>
      <c r="K49" s="51"/>
      <c r="L49" s="51"/>
      <c r="M49" s="51"/>
      <c r="N49" s="43"/>
      <c r="O49" s="22"/>
      <c r="P49" s="36"/>
      <c r="Q49" s="36"/>
    </row>
    <row r="50" ht="18.75" customHeight="1">
      <c r="A50" s="84" t="s">
        <v>201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44">
        <f>SUMIF(E51:M51,"Efectivo",E50:M50)</f>
        <v>0</v>
      </c>
      <c r="O50" s="15">
        <f>SUMIF(E51:M51,"Mercado Pago",E50:M50)</f>
        <v>0</v>
      </c>
      <c r="P50" s="36"/>
      <c r="Q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39"/>
      <c r="P51" s="36"/>
      <c r="Q51" s="36"/>
    </row>
    <row r="52" ht="18.75" customHeight="1">
      <c r="A52" s="22"/>
      <c r="B52" s="23" t="s">
        <v>19</v>
      </c>
      <c r="C52" s="25"/>
      <c r="D52" s="25"/>
      <c r="E52" s="27"/>
      <c r="F52" s="27"/>
      <c r="G52" s="27"/>
      <c r="H52" s="27"/>
      <c r="I52" s="27"/>
      <c r="J52" s="27"/>
      <c r="K52" s="27"/>
      <c r="L52" s="27"/>
      <c r="M52" s="27"/>
      <c r="N52" s="43"/>
      <c r="O52" s="22"/>
      <c r="P52" s="36"/>
      <c r="Q52" s="36"/>
    </row>
    <row r="53" ht="18.75" customHeight="1">
      <c r="A53" s="88" t="s">
        <v>202</v>
      </c>
      <c r="B53" s="31" t="s">
        <v>17</v>
      </c>
      <c r="C53" s="32" t="s">
        <v>203</v>
      </c>
      <c r="D53" s="32">
        <v>27000.0</v>
      </c>
      <c r="E53" s="32">
        <v>27000.0</v>
      </c>
      <c r="F53" s="32"/>
      <c r="G53" s="32"/>
      <c r="H53" s="32"/>
      <c r="I53" s="32"/>
      <c r="J53" s="32"/>
      <c r="K53" s="32"/>
      <c r="L53" s="32"/>
      <c r="M53" s="32"/>
      <c r="N53" s="44">
        <f>SUMIF(E54:M54,"Efectivo",E53:M53)</f>
        <v>27000</v>
      </c>
      <c r="O53" s="15">
        <f>SUMIF(E54:M54,"Mercado Pago",E53:M53)</f>
        <v>0</v>
      </c>
      <c r="P53" s="36"/>
      <c r="Q53" s="36"/>
    </row>
    <row r="54" ht="18.75" customHeight="1">
      <c r="B54" s="37" t="s">
        <v>18</v>
      </c>
      <c r="C54" s="38" t="s">
        <v>26</v>
      </c>
      <c r="D54" s="38" t="s">
        <v>26</v>
      </c>
      <c r="E54" s="38" t="s">
        <v>26</v>
      </c>
      <c r="F54" s="38"/>
      <c r="G54" s="38"/>
      <c r="H54" s="38"/>
      <c r="I54" s="38"/>
      <c r="J54" s="38"/>
      <c r="K54" s="38"/>
      <c r="L54" s="38"/>
      <c r="M54" s="38"/>
      <c r="N54" s="39"/>
      <c r="P54" s="36"/>
      <c r="Q54" s="36"/>
    </row>
    <row r="55" ht="18.75" customHeight="1">
      <c r="A55" s="22"/>
      <c r="B55" s="40" t="s">
        <v>19</v>
      </c>
      <c r="C55" s="49">
        <v>45827.0</v>
      </c>
      <c r="D55" s="49">
        <v>45827.0</v>
      </c>
      <c r="E55" s="49">
        <v>45869.0</v>
      </c>
      <c r="F55" s="49"/>
      <c r="G55" s="51"/>
      <c r="H55" s="42"/>
      <c r="I55" s="42"/>
      <c r="J55" s="42"/>
      <c r="K55" s="42"/>
      <c r="L55" s="42"/>
      <c r="M55" s="42"/>
      <c r="N55" s="43"/>
      <c r="O55" s="22"/>
      <c r="P55" s="36"/>
      <c r="Q55" s="36"/>
    </row>
    <row r="56" ht="18.75" customHeight="1">
      <c r="A56" s="84" t="s">
        <v>204</v>
      </c>
      <c r="B56" s="11" t="s">
        <v>17</v>
      </c>
      <c r="C56" s="12">
        <v>30000.0</v>
      </c>
      <c r="D56" s="12">
        <v>25000.0</v>
      </c>
      <c r="E56" s="12">
        <v>25000.0</v>
      </c>
      <c r="F56" s="12">
        <v>25000.0</v>
      </c>
      <c r="G56" s="12">
        <v>27000.0</v>
      </c>
      <c r="H56" s="12">
        <v>30000.0</v>
      </c>
      <c r="I56" s="12">
        <v>30000.0</v>
      </c>
      <c r="J56" s="12">
        <v>30000.0</v>
      </c>
      <c r="K56" s="12"/>
      <c r="L56" s="12"/>
      <c r="M56" s="12"/>
      <c r="N56" s="44">
        <f>SUMIF(E57:M57,"Efectivo",E56:M56)</f>
        <v>0</v>
      </c>
      <c r="O56" s="15">
        <f>SUMIF(E57:M57,"Mercado Pago",E56:M56)</f>
        <v>167000</v>
      </c>
      <c r="P56" s="36"/>
      <c r="Q56" s="36"/>
    </row>
    <row r="57" ht="18.75" customHeight="1">
      <c r="B57" s="18" t="s">
        <v>18</v>
      </c>
      <c r="C57" s="19" t="s">
        <v>35</v>
      </c>
      <c r="D57" s="19" t="s">
        <v>35</v>
      </c>
      <c r="E57" s="19" t="s">
        <v>35</v>
      </c>
      <c r="F57" s="19" t="s">
        <v>35</v>
      </c>
      <c r="G57" s="19" t="s">
        <v>35</v>
      </c>
      <c r="H57" s="19" t="s">
        <v>35</v>
      </c>
      <c r="I57" s="19" t="s">
        <v>35</v>
      </c>
      <c r="J57" s="19" t="s">
        <v>35</v>
      </c>
      <c r="K57" s="19"/>
      <c r="L57" s="19"/>
      <c r="M57" s="19"/>
      <c r="N57" s="39"/>
      <c r="P57" s="36"/>
      <c r="Q57" s="36"/>
    </row>
    <row r="58" ht="18.75" customHeight="1">
      <c r="A58" s="22"/>
      <c r="B58" s="23" t="s">
        <v>19</v>
      </c>
      <c r="C58" s="58">
        <v>45624.0</v>
      </c>
      <c r="D58" s="58">
        <v>45744.0</v>
      </c>
      <c r="E58" s="58">
        <v>45769.0</v>
      </c>
      <c r="F58" s="58">
        <v>45805.0</v>
      </c>
      <c r="G58" s="58">
        <v>45833.0</v>
      </c>
      <c r="H58" s="58">
        <v>45908.0</v>
      </c>
      <c r="I58" s="58">
        <v>45908.0</v>
      </c>
      <c r="J58" s="58">
        <v>45908.0</v>
      </c>
      <c r="K58" s="60"/>
      <c r="L58" s="60"/>
      <c r="M58" s="60"/>
      <c r="N58" s="43"/>
      <c r="O58" s="22"/>
      <c r="P58" s="36"/>
      <c r="Q58" s="36"/>
    </row>
    <row r="59" ht="18.75" customHeight="1">
      <c r="A59" s="85" t="s">
        <v>205</v>
      </c>
      <c r="B59" s="31" t="s">
        <v>17</v>
      </c>
      <c r="C59" s="32">
        <v>30000.0</v>
      </c>
      <c r="D59" s="32">
        <v>25000.0</v>
      </c>
      <c r="E59" s="32">
        <v>25000.0</v>
      </c>
      <c r="F59" s="32">
        <v>30000.0</v>
      </c>
      <c r="G59" s="32">
        <v>30000.0</v>
      </c>
      <c r="H59" s="32">
        <v>30000.0</v>
      </c>
      <c r="I59" s="32">
        <v>30000.0</v>
      </c>
      <c r="J59" s="32"/>
      <c r="K59" s="32"/>
      <c r="L59" s="32"/>
      <c r="M59" s="32"/>
      <c r="N59" s="44">
        <f>SUMIF(E60:M60,"Efectivo",E59:M59)</f>
        <v>25000</v>
      </c>
      <c r="O59" s="15">
        <f>SUMIF(E60:M60,"Mercado Pago",E59:M59)</f>
        <v>120000</v>
      </c>
      <c r="P59" s="36"/>
      <c r="Q59" s="36"/>
    </row>
    <row r="60" ht="18.75" customHeight="1">
      <c r="B60" s="37" t="s">
        <v>18</v>
      </c>
      <c r="C60" s="38" t="s">
        <v>26</v>
      </c>
      <c r="D60" s="38" t="s">
        <v>26</v>
      </c>
      <c r="E60" s="38" t="s">
        <v>26</v>
      </c>
      <c r="F60" s="38" t="s">
        <v>35</v>
      </c>
      <c r="G60" s="38" t="s">
        <v>35</v>
      </c>
      <c r="H60" s="38" t="s">
        <v>35</v>
      </c>
      <c r="I60" s="38" t="s">
        <v>35</v>
      </c>
      <c r="J60" s="38"/>
      <c r="K60" s="38"/>
      <c r="L60" s="38"/>
      <c r="M60" s="38"/>
      <c r="N60" s="39"/>
      <c r="P60" s="36"/>
      <c r="Q60" s="36"/>
    </row>
    <row r="61" ht="18.75" customHeight="1">
      <c r="A61" s="22"/>
      <c r="B61" s="40" t="s">
        <v>19</v>
      </c>
      <c r="C61" s="51">
        <v>45713.0</v>
      </c>
      <c r="D61" s="51">
        <v>45751.0</v>
      </c>
      <c r="E61" s="51">
        <v>45751.0</v>
      </c>
      <c r="F61" s="41">
        <v>45951.0</v>
      </c>
      <c r="G61" s="41">
        <v>45951.0</v>
      </c>
      <c r="H61" s="62">
        <v>45951.0</v>
      </c>
      <c r="I61" s="62">
        <v>45951.0</v>
      </c>
      <c r="J61" s="42"/>
      <c r="K61" s="42"/>
      <c r="L61" s="42"/>
      <c r="M61" s="42"/>
      <c r="N61" s="43"/>
      <c r="O61" s="22"/>
      <c r="P61" s="36"/>
      <c r="Q61" s="36"/>
    </row>
    <row r="62" ht="18.75" customHeight="1">
      <c r="A62" s="84" t="s">
        <v>206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44">
        <f>SUMIF(E63:M63,"Efectivo",E62:M62)</f>
        <v>0</v>
      </c>
      <c r="O62" s="15">
        <f>SUMIF(E63:M63,"Mercado Pago",E62:M62)</f>
        <v>0</v>
      </c>
      <c r="P62" s="36"/>
      <c r="Q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39"/>
      <c r="P63" s="36"/>
      <c r="Q63" s="36"/>
    </row>
    <row r="64" ht="18.75" customHeight="1">
      <c r="A64" s="22"/>
      <c r="B64" s="23" t="s">
        <v>19</v>
      </c>
      <c r="C64" s="45"/>
      <c r="D64" s="45"/>
      <c r="E64" s="27"/>
      <c r="F64" s="27"/>
      <c r="G64" s="27"/>
      <c r="H64" s="27"/>
      <c r="I64" s="27"/>
      <c r="J64" s="27"/>
      <c r="K64" s="27"/>
      <c r="L64" s="27"/>
      <c r="M64" s="27"/>
      <c r="N64" s="43"/>
      <c r="O64" s="22"/>
      <c r="P64" s="36"/>
      <c r="Q64" s="36"/>
    </row>
    <row r="65" ht="18.75" customHeight="1">
      <c r="A65" s="85" t="s">
        <v>207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44">
        <f>SUMIF(E66:M66,"Efectivo",E65:M65)</f>
        <v>0</v>
      </c>
      <c r="O65" s="15">
        <f>SUMIF(E66:M66,"Mercado Pago",E65:M65)</f>
        <v>0</v>
      </c>
      <c r="P65" s="36"/>
      <c r="Q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9"/>
      <c r="P66" s="36"/>
      <c r="Q66" s="36"/>
    </row>
    <row r="67" ht="18.75" customHeight="1">
      <c r="A67" s="22"/>
      <c r="B67" s="40" t="s">
        <v>19</v>
      </c>
      <c r="C67" s="49"/>
      <c r="D67" s="49"/>
      <c r="E67" s="49"/>
      <c r="F67" s="52"/>
      <c r="G67" s="52"/>
      <c r="H67" s="66"/>
      <c r="I67" s="66"/>
      <c r="J67" s="66"/>
      <c r="K67" s="66"/>
      <c r="L67" s="66"/>
      <c r="M67" s="66"/>
      <c r="N67" s="43"/>
      <c r="O67" s="22"/>
      <c r="P67" s="36"/>
      <c r="Q67" s="36"/>
    </row>
    <row r="68" ht="18.75" customHeight="1">
      <c r="A68" s="84" t="s">
        <v>208</v>
      </c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44">
        <f>SUMIF(E69:M69,"Efectivo",E68:M68)</f>
        <v>0</v>
      </c>
      <c r="O68" s="15">
        <f>SUMIF(E69:M69,"Mercado Pago",E68:M68)</f>
        <v>0</v>
      </c>
      <c r="P68" s="36"/>
      <c r="Q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39"/>
      <c r="P69" s="36"/>
      <c r="Q69" s="36"/>
    </row>
    <row r="70">
      <c r="A70" s="22"/>
      <c r="B70" s="23" t="s">
        <v>19</v>
      </c>
      <c r="C70" s="45"/>
      <c r="D70" s="45"/>
      <c r="E70" s="45"/>
      <c r="F70" s="25"/>
      <c r="G70" s="25"/>
      <c r="H70" s="25"/>
      <c r="I70" s="25"/>
      <c r="J70" s="25"/>
      <c r="K70" s="25"/>
      <c r="L70" s="25"/>
      <c r="M70" s="25"/>
      <c r="N70" s="43"/>
      <c r="O70" s="22"/>
      <c r="P70" s="36"/>
      <c r="Q70" s="36"/>
    </row>
    <row r="71">
      <c r="A71" s="67"/>
      <c r="B71" s="68"/>
      <c r="C71" s="68"/>
      <c r="D71" s="68"/>
      <c r="E71" s="68"/>
      <c r="F71" s="68"/>
      <c r="G71" s="68"/>
      <c r="H71" s="68"/>
    </row>
    <row r="72">
      <c r="A72" s="67"/>
      <c r="B72" s="68"/>
      <c r="C72" s="68"/>
      <c r="D72" s="68"/>
      <c r="E72" s="68"/>
      <c r="F72" s="68"/>
      <c r="G72" s="68"/>
      <c r="H72" s="68"/>
    </row>
    <row r="73">
      <c r="A73" s="67"/>
      <c r="B73" s="68"/>
      <c r="C73" s="68"/>
      <c r="D73" s="68"/>
      <c r="E73" s="68"/>
      <c r="F73" s="68"/>
      <c r="G73" s="68"/>
      <c r="H73" s="68"/>
    </row>
    <row r="74">
      <c r="A74" s="67"/>
      <c r="B74" s="68"/>
      <c r="C74" s="68"/>
      <c r="D74" s="68"/>
      <c r="E74" s="68"/>
      <c r="F74" s="68"/>
      <c r="G74" s="68"/>
      <c r="H74" s="68"/>
    </row>
    <row r="75">
      <c r="A75" s="67"/>
      <c r="B75" s="68"/>
      <c r="C75" s="68"/>
      <c r="D75" s="68"/>
      <c r="E75" s="68"/>
      <c r="F75" s="68"/>
      <c r="G75" s="68"/>
      <c r="H75" s="68"/>
    </row>
    <row r="76">
      <c r="A76" s="67"/>
      <c r="B76" s="68"/>
      <c r="C76" s="68"/>
      <c r="D76" s="68"/>
      <c r="E76" s="68"/>
      <c r="F76" s="68"/>
      <c r="G76" s="68"/>
      <c r="H76" s="68"/>
    </row>
    <row r="77">
      <c r="A77" s="67"/>
      <c r="B77" s="68"/>
      <c r="C77" s="68"/>
      <c r="D77" s="68"/>
      <c r="E77" s="68"/>
      <c r="F77" s="68"/>
      <c r="G77" s="68"/>
      <c r="H77" s="68"/>
    </row>
    <row r="78">
      <c r="A78" s="67"/>
      <c r="B78" s="68"/>
      <c r="C78" s="68"/>
      <c r="D78" s="68"/>
      <c r="E78" s="68"/>
      <c r="F78" s="68"/>
      <c r="G78" s="68"/>
      <c r="H78" s="68"/>
    </row>
    <row r="79">
      <c r="A79" s="67"/>
      <c r="B79" s="68"/>
      <c r="C79" s="68"/>
      <c r="D79" s="68"/>
      <c r="E79" s="68"/>
      <c r="F79" s="68"/>
      <c r="G79" s="68"/>
      <c r="H79" s="68"/>
    </row>
    <row r="80">
      <c r="A80" s="67"/>
      <c r="B80" s="68"/>
      <c r="C80" s="68"/>
      <c r="D80" s="68"/>
      <c r="E80" s="68"/>
      <c r="F80" s="68"/>
      <c r="G80" s="68"/>
      <c r="H80" s="68"/>
    </row>
    <row r="81">
      <c r="A81" s="67"/>
      <c r="B81" s="68"/>
      <c r="C81" s="68"/>
      <c r="D81" s="68"/>
      <c r="E81" s="68"/>
      <c r="F81" s="68"/>
      <c r="G81" s="68"/>
      <c r="H81" s="68"/>
    </row>
    <row r="82">
      <c r="A82" s="67"/>
      <c r="B82" s="68"/>
      <c r="C82" s="68"/>
      <c r="D82" s="68"/>
      <c r="E82" s="68"/>
      <c r="F82" s="68"/>
      <c r="G82" s="68"/>
      <c r="H82" s="68"/>
    </row>
    <row r="83">
      <c r="A83" s="67"/>
      <c r="B83" s="68"/>
      <c r="C83" s="68"/>
      <c r="D83" s="68"/>
      <c r="E83" s="68"/>
      <c r="F83" s="68"/>
      <c r="G83" s="68"/>
      <c r="H83" s="68"/>
    </row>
    <row r="84">
      <c r="A84" s="67"/>
      <c r="B84" s="68"/>
      <c r="C84" s="68"/>
      <c r="D84" s="68"/>
      <c r="E84" s="68"/>
      <c r="F84" s="68"/>
      <c r="G84" s="68"/>
      <c r="H84" s="68"/>
    </row>
    <row r="85">
      <c r="A85" s="67"/>
      <c r="B85" s="68"/>
      <c r="C85" s="68"/>
      <c r="D85" s="68"/>
      <c r="E85" s="68"/>
      <c r="F85" s="68"/>
      <c r="G85" s="68"/>
      <c r="H85" s="68"/>
    </row>
    <row r="86">
      <c r="A86" s="67"/>
      <c r="B86" s="68"/>
      <c r="C86" s="68"/>
      <c r="D86" s="68"/>
      <c r="E86" s="68"/>
      <c r="F86" s="68"/>
      <c r="G86" s="68"/>
      <c r="H86" s="68"/>
    </row>
    <row r="87">
      <c r="A87" s="67"/>
      <c r="B87" s="68"/>
      <c r="C87" s="68"/>
      <c r="D87" s="68"/>
      <c r="E87" s="68"/>
      <c r="F87" s="68"/>
      <c r="G87" s="68"/>
      <c r="H87" s="68"/>
    </row>
    <row r="88">
      <c r="A88" s="67"/>
      <c r="B88" s="68"/>
      <c r="C88" s="68"/>
      <c r="D88" s="68"/>
      <c r="E88" s="68"/>
      <c r="F88" s="68"/>
      <c r="G88" s="68"/>
      <c r="H88" s="68"/>
    </row>
    <row r="89">
      <c r="A89" s="67"/>
      <c r="B89" s="68"/>
      <c r="C89" s="68"/>
      <c r="D89" s="68"/>
      <c r="E89" s="68"/>
      <c r="F89" s="68"/>
      <c r="G89" s="68"/>
      <c r="H89" s="68"/>
    </row>
    <row r="90">
      <c r="A90" s="67"/>
      <c r="B90" s="68"/>
      <c r="C90" s="68"/>
      <c r="D90" s="68"/>
      <c r="E90" s="68"/>
      <c r="F90" s="68"/>
      <c r="G90" s="68"/>
      <c r="H90" s="68"/>
    </row>
    <row r="91">
      <c r="A91" s="67"/>
      <c r="B91" s="68"/>
      <c r="C91" s="68"/>
      <c r="D91" s="68"/>
      <c r="E91" s="68"/>
      <c r="F91" s="68"/>
      <c r="G91" s="68"/>
      <c r="H91" s="68"/>
    </row>
    <row r="92">
      <c r="A92" s="67"/>
      <c r="B92" s="68"/>
      <c r="C92" s="68"/>
      <c r="D92" s="68"/>
      <c r="E92" s="68"/>
      <c r="F92" s="68"/>
      <c r="G92" s="68"/>
      <c r="H92" s="68"/>
    </row>
    <row r="93">
      <c r="A93" s="67"/>
      <c r="B93" s="68"/>
      <c r="C93" s="68"/>
      <c r="D93" s="68"/>
      <c r="E93" s="68"/>
      <c r="F93" s="68"/>
      <c r="G93" s="68"/>
      <c r="H93" s="68"/>
    </row>
    <row r="94">
      <c r="A94" s="67"/>
      <c r="B94" s="68"/>
      <c r="C94" s="68"/>
      <c r="D94" s="68"/>
      <c r="E94" s="68"/>
      <c r="F94" s="68"/>
      <c r="G94" s="68"/>
      <c r="H94" s="68"/>
    </row>
    <row r="95">
      <c r="A95" s="67"/>
      <c r="B95" s="68"/>
      <c r="C95" s="68"/>
      <c r="D95" s="68"/>
      <c r="E95" s="68"/>
      <c r="F95" s="68"/>
      <c r="G95" s="68"/>
      <c r="H95" s="68"/>
    </row>
    <row r="96">
      <c r="A96" s="67"/>
      <c r="B96" s="68"/>
      <c r="C96" s="68"/>
      <c r="D96" s="68"/>
      <c r="E96" s="68"/>
      <c r="F96" s="68"/>
      <c r="G96" s="68"/>
      <c r="H96" s="68"/>
    </row>
    <row r="97">
      <c r="A97" s="67"/>
      <c r="B97" s="68"/>
      <c r="C97" s="68"/>
      <c r="D97" s="68"/>
      <c r="E97" s="68"/>
      <c r="F97" s="68"/>
      <c r="G97" s="68"/>
      <c r="H97" s="68"/>
    </row>
    <row r="98">
      <c r="A98" s="67"/>
      <c r="B98" s="68"/>
      <c r="C98" s="68"/>
      <c r="D98" s="68"/>
      <c r="E98" s="68"/>
      <c r="F98" s="68"/>
      <c r="G98" s="68"/>
      <c r="H98" s="68"/>
    </row>
    <row r="99">
      <c r="A99" s="67"/>
      <c r="B99" s="68"/>
      <c r="C99" s="68"/>
      <c r="D99" s="68"/>
      <c r="E99" s="68"/>
      <c r="F99" s="68"/>
      <c r="G99" s="68"/>
      <c r="H99" s="68"/>
    </row>
    <row r="100">
      <c r="A100" s="67"/>
      <c r="B100" s="68"/>
      <c r="C100" s="68"/>
      <c r="D100" s="68"/>
      <c r="E100" s="68"/>
      <c r="F100" s="68"/>
      <c r="G100" s="68"/>
      <c r="H100" s="68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56"/>
    </row>
    <row r="122">
      <c r="A122" s="56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  <row r="1001">
      <c r="A1001" s="67"/>
    </row>
    <row r="1002">
      <c r="A1002" s="67"/>
    </row>
    <row r="1003">
      <c r="A1003" s="67"/>
    </row>
    <row r="1004">
      <c r="A1004" s="67"/>
    </row>
    <row r="1005">
      <c r="A1005" s="67"/>
    </row>
    <row r="1006">
      <c r="A1006" s="67"/>
    </row>
    <row r="1007">
      <c r="A1007" s="67"/>
    </row>
    <row r="1008">
      <c r="A1008" s="67"/>
    </row>
    <row r="1009">
      <c r="A1009" s="67"/>
    </row>
    <row r="1010">
      <c r="A1010" s="67"/>
    </row>
    <row r="1011">
      <c r="A1011" s="67"/>
    </row>
    <row r="1012">
      <c r="A1012" s="67"/>
    </row>
    <row r="1013">
      <c r="A1013" s="67"/>
    </row>
    <row r="1014">
      <c r="A1014" s="67"/>
    </row>
    <row r="1015">
      <c r="A1015" s="67"/>
    </row>
    <row r="1016">
      <c r="A1016" s="67"/>
    </row>
    <row r="1017">
      <c r="A1017" s="67"/>
    </row>
    <row r="1018">
      <c r="A1018" s="67"/>
    </row>
    <row r="1019">
      <c r="A1019" s="67"/>
    </row>
    <row r="1020">
      <c r="A1020" s="67"/>
    </row>
    <row r="1021">
      <c r="A1021" s="67"/>
    </row>
    <row r="1022">
      <c r="A1022" s="67"/>
    </row>
    <row r="1023">
      <c r="A1023" s="67"/>
    </row>
    <row r="1024">
      <c r="A1024" s="67"/>
    </row>
    <row r="1025">
      <c r="A1025" s="67"/>
    </row>
    <row r="1026">
      <c r="A1026" s="67"/>
    </row>
    <row r="1027">
      <c r="A1027" s="67"/>
    </row>
    <row r="1028">
      <c r="A1028" s="67"/>
    </row>
    <row r="1029">
      <c r="A1029" s="67"/>
    </row>
    <row r="1030">
      <c r="A1030" s="67"/>
    </row>
    <row r="1031">
      <c r="A1031" s="67"/>
    </row>
    <row r="1032">
      <c r="A1032" s="67"/>
    </row>
    <row r="1033">
      <c r="A1033" s="67"/>
    </row>
    <row r="1034">
      <c r="A1034" s="67"/>
    </row>
    <row r="1035">
      <c r="A1035" s="67"/>
    </row>
    <row r="1036">
      <c r="A1036" s="67"/>
    </row>
    <row r="1037">
      <c r="A1037" s="67"/>
    </row>
    <row r="1038">
      <c r="A1038" s="67"/>
    </row>
    <row r="1039">
      <c r="A1039" s="67"/>
    </row>
    <row r="1040">
      <c r="A1040" s="67"/>
    </row>
    <row r="1041">
      <c r="A1041" s="67"/>
    </row>
    <row r="1042">
      <c r="A1042" s="67"/>
    </row>
  </sheetData>
  <mergeCells count="73">
    <mergeCell ref="A26:A28"/>
    <mergeCell ref="A29:A31"/>
    <mergeCell ref="A32:A34"/>
    <mergeCell ref="A35:A37"/>
    <mergeCell ref="A38:A40"/>
    <mergeCell ref="A41:A43"/>
    <mergeCell ref="A44:A46"/>
    <mergeCell ref="A68:A70"/>
    <mergeCell ref="A119:A121"/>
    <mergeCell ref="A122:A124"/>
    <mergeCell ref="A47:A49"/>
    <mergeCell ref="A50:A52"/>
    <mergeCell ref="A53:A55"/>
    <mergeCell ref="A56:A58"/>
    <mergeCell ref="A59:A61"/>
    <mergeCell ref="A62:A64"/>
    <mergeCell ref="A65:A67"/>
    <mergeCell ref="O62:O64"/>
    <mergeCell ref="O65:O67"/>
    <mergeCell ref="N68:N70"/>
    <mergeCell ref="O68:O70"/>
    <mergeCell ref="O41:O43"/>
    <mergeCell ref="O44:O46"/>
    <mergeCell ref="O47:O49"/>
    <mergeCell ref="O50:O52"/>
    <mergeCell ref="O53:O55"/>
    <mergeCell ref="O56:O58"/>
    <mergeCell ref="O59:O61"/>
    <mergeCell ref="A2:A4"/>
    <mergeCell ref="N2:N4"/>
    <mergeCell ref="O2:O4"/>
    <mergeCell ref="P2:P4"/>
    <mergeCell ref="Q2:Q4"/>
    <mergeCell ref="N5:N7"/>
    <mergeCell ref="O5:O7"/>
    <mergeCell ref="N8:N10"/>
    <mergeCell ref="O8:O10"/>
    <mergeCell ref="N11:N13"/>
    <mergeCell ref="O11:O13"/>
    <mergeCell ref="N14:N16"/>
    <mergeCell ref="O14:O16"/>
    <mergeCell ref="O17:O19"/>
    <mergeCell ref="A5:A7"/>
    <mergeCell ref="A8:A10"/>
    <mergeCell ref="A11:A13"/>
    <mergeCell ref="A14:A16"/>
    <mergeCell ref="A17:A19"/>
    <mergeCell ref="A20:A22"/>
    <mergeCell ref="A23:A25"/>
    <mergeCell ref="N17:N19"/>
    <mergeCell ref="N20:N22"/>
    <mergeCell ref="N23:N25"/>
    <mergeCell ref="N26:N28"/>
    <mergeCell ref="N29:N31"/>
    <mergeCell ref="N32:N34"/>
    <mergeCell ref="N35:N37"/>
    <mergeCell ref="O20:O22"/>
    <mergeCell ref="O23:O25"/>
    <mergeCell ref="O26:O28"/>
    <mergeCell ref="O29:O31"/>
    <mergeCell ref="O32:O34"/>
    <mergeCell ref="O35:O37"/>
    <mergeCell ref="O38:O40"/>
    <mergeCell ref="N59:N61"/>
    <mergeCell ref="N62:N64"/>
    <mergeCell ref="N65:N67"/>
    <mergeCell ref="N38:N40"/>
    <mergeCell ref="N41:N43"/>
    <mergeCell ref="N44:N46"/>
    <mergeCell ref="N47:N49"/>
    <mergeCell ref="N50:N52"/>
    <mergeCell ref="N53:N55"/>
    <mergeCell ref="N56:N58"/>
  </mergeCells>
  <dataValidations>
    <dataValidation type="list" allowBlank="1" showErrorMessage="1" sqref="C3:M3 C6:M6 C9:M9 C12:M12 C15:M15 C18:M18 C21:M21 C24:M24 C27:M27 C30:M30 C33:M33 C36:M36 C39:M39 C42:M42 C45:M45 C48:M48 C51:M51 C54:M54 C57:M57 C60:M60 C63:M63 C66:M66 C69:M69">
      <formula1>"Efectivo,Mercado Pago"</formula1>
    </dataValidation>
    <dataValidation type="custom" allowBlank="1" showDropDown="1" sqref="C4:M4 C7:M7 C10:M10 C13:M13 C16:M16 C19:M19 C22:M22 C25:M25 C28:M28 C31:M31 C34:M34 C37:M37 C40:M40 C43:M43 C46:M46 C49:M49 C52:M52 C55:M55 C58:M58 C61:M61 C64:M64 C67:M67 C70:M70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